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B-RMW-L0-LP" state="visible" r:id="rId4"/>
  </sheets>
  <definedNames>
    <definedName name="_xlnm.Print_Titles" localSheetId="0">'DB-RMW-L0-LP'!$9:$10</definedName>
  </definedNames>
  <calcPr calcId="171027"/>
</workbook>
</file>

<file path=xl/sharedStrings.xml><?xml version="1.0" encoding="utf-8"?>
<sst xmlns="http://schemas.openxmlformats.org/spreadsheetml/2006/main" count="231" uniqueCount="151">
  <si>
    <t>HANUMAN BREWERY EXPANSION PHASE 3 RAW MATERIAL_REV3</t>
  </si>
  <si>
    <t>DB-RMW-L0-LP</t>
  </si>
  <si>
    <t>BOX PANEL - LOCATION raw material 1</t>
  </si>
  <si>
    <t>220/380V, 3PH, 4W, 50Hz - cos phi 0.8</t>
  </si>
  <si>
    <t>cos phi</t>
  </si>
  <si>
    <t>V (L-L)</t>
  </si>
  <si>
    <t>V (L-N)</t>
  </si>
  <si>
    <t>NO.</t>
  </si>
  <si>
    <t>FUNCTION</t>
  </si>
  <si>
    <t>BREAKER</t>
  </si>
  <si>
    <t>TYPE</t>
  </si>
  <si>
    <t>FIXTURE</t>
  </si>
  <si>
    <t>DEMAND LOAD (WATT)</t>
  </si>
  <si>
    <t>REMARKS</t>
  </si>
  <si>
    <t>AMPERE</t>
  </si>
  <si>
    <t xml:space="preserve">BREAKER
SELECTION</t>
  </si>
  <si>
    <t xml:space="preserve">OD
(mm)</t>
  </si>
  <si>
    <t xml:space="preserve">ACT_E_DOWNLIGHT 12W
DOWNLIGHT 12WATT NORMAL</t>
  </si>
  <si>
    <t xml:space="preserve">ACT_E_DOWNLIGHT 12W
DOWNLIGHT 12WATT EMERGENCY</t>
  </si>
  <si>
    <t xml:space="preserve">ACT_E_DOWNLIGHT 24WATT
DOWNLIGHT 24 WATT</t>
  </si>
  <si>
    <t xml:space="preserve">ACT_E_DOWNLIGHT 24WATT
DOWNLIGHT 24 WATT W/ BATTERY</t>
  </si>
  <si>
    <t xml:space="preserve">ACT_E_DOWNLIGHT SURFACE 12W
DOWNLIGHT 12 C/W BATTERY</t>
  </si>
  <si>
    <t xml:space="preserve">ACT_E_DOWNLIGHT SURFACE 12W
DOWNLIGHT SURFACE 12W</t>
  </si>
  <si>
    <t xml:space="preserve">ACT_E_EXIT LIGHTING ARROW
EXIT LIGHTING ARROW 5WATT</t>
  </si>
  <si>
    <t xml:space="preserve">ACT_E_EXIT LIGHTING DOUBLE SIGN ARROW
EXIT LIGHTING DOUBLE LEFT RIGHT ARROW 5WATT</t>
  </si>
  <si>
    <t xml:space="preserve">ACT_E_EXIT LIGHTING
EXIT LIGHTING 5WATT</t>
  </si>
  <si>
    <t xml:space="preserve">ACT_E_HIGHBAY_150 WATT
HIGHBAY 150W NRML</t>
  </si>
  <si>
    <t xml:space="preserve">ACT_E_EMERGENCY LAMP 6WATT
EMERGENCY LIGHT 2X6 WATT</t>
  </si>
  <si>
    <t xml:space="preserve">ACT_E_LED TUBE_SURFACE 18WATT_
SURFACE 18WATT</t>
  </si>
  <si>
    <t xml:space="preserve">ACT_E_LED TUBE_SURFACE 18WATT_
SURFACE  18WATT W/BATTERY</t>
  </si>
  <si>
    <t xml:space="preserve">ACT_E_LED TUBE_SURFACE 2_18WATT
SURFACE 40WATT</t>
  </si>
  <si>
    <t xml:space="preserve">ACT_E_LED TUBE_SURFACE 2_18WATT
SURFACE  40WATT W/BATTERY</t>
  </si>
  <si>
    <t xml:space="preserve">ACT_E_LIGHTING RECESSED
RECESSED 40WATT NORMAL</t>
  </si>
  <si>
    <t xml:space="preserve">ACT_E_LIGHTING RECESSED
RECESSED 40WATT EMERGENCY</t>
  </si>
  <si>
    <t xml:space="preserve">ACT_INSECT KILLER_
ACT_E_INSECT KILLER LAMP</t>
  </si>
  <si>
    <t xml:space="preserve">ACT_E_ISOLATOR SWICTH 1PH
ISOLATOR SWITCH 1PH</t>
  </si>
  <si>
    <t xml:space="preserve">ACT_E_ISOLATOR SWICTH 3PH
ISOLATOR SWITCH 3PH</t>
  </si>
  <si>
    <t xml:space="preserve">ACT_E_ISOLATOR SWICTH 3PH
ISOLATOR SWITCH 3PH FOR CHARGING STATION</t>
  </si>
  <si>
    <t xml:space="preserve">ACT_E_POP UP FOR TABLE 1 SOCKET
POP UP FLOOR 1 SOCKET</t>
  </si>
  <si>
    <t xml:space="preserve">ACT_E_POP UP FOR TABLE 1 SOCKET
POP UP FLOOR 1 SOCKET FOR EMERGENCY</t>
  </si>
  <si>
    <t xml:space="preserve">ACT_E_POWER OUTLET FLUSH
NORMAL</t>
  </si>
  <si>
    <t xml:space="preserve">ACT_E_POWER OUTLET FLUSH
EMERGENCY</t>
  </si>
  <si>
    <t xml:space="preserve">ACT_E_POWER OUTLET FLUSH FOR VESDA
VESDA</t>
  </si>
  <si>
    <t xml:space="preserve">ACT_E_POWER OUTLET FLUSH
HAND DRYER</t>
  </si>
  <si>
    <t xml:space="preserve">ACT_E_RECEPTACLE GENERAL COVER IP56 1PH
ACT_E_RECEPTACLE GENERAL COVER IP56 1PH</t>
  </si>
  <si>
    <t xml:space="preserve">ACT_E_RECEPTACLE INDUSTRIAL
1PH</t>
  </si>
  <si>
    <t xml:space="preserve">ACT_E_RECEPTACLE INDUSTRIAL
3PH</t>
  </si>
  <si>
    <t>R (WATT)</t>
  </si>
  <si>
    <t>S (WATT)</t>
  </si>
  <si>
    <t>T (WATT)</t>
  </si>
  <si>
    <t>WATT / UNIT</t>
  </si>
  <si>
    <t>LIGHTING (E)/1</t>
  </si>
  <si>
    <t/>
  </si>
  <si>
    <t>LIGHTING (E)/2</t>
  </si>
  <si>
    <t>LIGHTING (E)/3</t>
  </si>
  <si>
    <t>LIGHTING (E)/4</t>
  </si>
  <si>
    <t>LIGHTING (E)/5</t>
  </si>
  <si>
    <t>LIGHTING (E)/6</t>
  </si>
  <si>
    <t>LIGHTING (E)/7</t>
  </si>
  <si>
    <t>LIGHTING (E)/8</t>
  </si>
  <si>
    <t>LIGHTING (E)/9</t>
  </si>
  <si>
    <t>LIGHTING (E)/10</t>
  </si>
  <si>
    <t>LIGHTING (E)/11</t>
  </si>
  <si>
    <t>LIGHTING (E)/12</t>
  </si>
  <si>
    <t>LIGHTING (E)/13</t>
  </si>
  <si>
    <t>LIGHTING (E)/14</t>
  </si>
  <si>
    <t>LIGHTING (E)/15</t>
  </si>
  <si>
    <t>LIGHTING (E)/16</t>
  </si>
  <si>
    <t>LIGHTING (E)/17</t>
  </si>
  <si>
    <t>LIGHTING (E)/18</t>
  </si>
  <si>
    <t>LIGHTING (E)/19</t>
  </si>
  <si>
    <t>LIGHTING (E)/20</t>
  </si>
  <si>
    <t>LIGHTING (E)/21</t>
  </si>
  <si>
    <t>LIGHTING (E)/22</t>
  </si>
  <si>
    <t>LIGHTING (E)/23</t>
  </si>
  <si>
    <t>LIGHTING (E)/24</t>
  </si>
  <si>
    <t>LIGHTING (E)/25</t>
  </si>
  <si>
    <t>LIGHTING (E)/26</t>
  </si>
  <si>
    <t>LIGHTING (E)/27</t>
  </si>
  <si>
    <t>LIGHTING (E)/28</t>
  </si>
  <si>
    <t>LIGHTING (E)/29</t>
  </si>
  <si>
    <t>LIGHTING (E)/30</t>
  </si>
  <si>
    <t>LIGHTING (E)/31</t>
  </si>
  <si>
    <t>LIGHTING (E)/32</t>
  </si>
  <si>
    <t>LIGHTING (E)/33</t>
  </si>
  <si>
    <t>RECEPTACLE (E)/34</t>
  </si>
  <si>
    <t>RECEPTACLE (E)/35</t>
  </si>
  <si>
    <t>RECEPTACLE (E)/36</t>
  </si>
  <si>
    <t>RECEPTACLE (E)/37</t>
  </si>
  <si>
    <t>RECEPTACLE (E)/38</t>
  </si>
  <si>
    <t>RECEPTACLE (E)/39</t>
  </si>
  <si>
    <t>RECEPTACLE (E)/40</t>
  </si>
  <si>
    <t>RECEPTACLE (E)/41</t>
  </si>
  <si>
    <t>RECEPTACLE (E)/42</t>
  </si>
  <si>
    <t>RECEPTACLE (E)/43</t>
  </si>
  <si>
    <t>RECEPTACLE (E)/44</t>
  </si>
  <si>
    <t>RECEPTACLE (E)/45</t>
  </si>
  <si>
    <t>RECEPTACLE (E)/46</t>
  </si>
  <si>
    <t>RECEPTACLE (E)/47,48,49</t>
  </si>
  <si>
    <t>RECEPTACLE (E)/50,51,52</t>
  </si>
  <si>
    <t>RECEPTACLE (E)/53,54,55</t>
  </si>
  <si>
    <t>RECEPTACLE (E)/56,57,58</t>
  </si>
  <si>
    <t>RECEPTACLE (E)/59,60,61</t>
  </si>
  <si>
    <t>RECEPTACLE (E)/62,63,64</t>
  </si>
  <si>
    <t>RECEPTACLE (E)/65,66,67</t>
  </si>
  <si>
    <t>RECEPTACLE (E)/68,69,70</t>
  </si>
  <si>
    <t>RECEPTACLE (E)/71,72,73</t>
  </si>
  <si>
    <t>RECEPTACLE (E)/74,75,76</t>
  </si>
  <si>
    <t>RECEPTACLE (E)/77,78,79</t>
  </si>
  <si>
    <t>RECEPTACLE (E)/80</t>
  </si>
  <si>
    <t>RECEPTACLE (E)/81</t>
  </si>
  <si>
    <t>RECEPTACLE (E)/82</t>
  </si>
  <si>
    <t>RECEPTACLE (E)/83</t>
  </si>
  <si>
    <t>RECEPTACLE (E)/84</t>
  </si>
  <si>
    <t>RECEPTACLE (E)/85</t>
  </si>
  <si>
    <t>RECEPTACLE (E)/86</t>
  </si>
  <si>
    <t>RECEPTACLE (E)/87</t>
  </si>
  <si>
    <t>RECEPTACLE (E)/88</t>
  </si>
  <si>
    <t>RECEPTACLE (E)/89</t>
  </si>
  <si>
    <t>RECEPTACLE (E)/90</t>
  </si>
  <si>
    <t>RECEPTACLE (E)/91</t>
  </si>
  <si>
    <t>RECEPTACLE (E)/92</t>
  </si>
  <si>
    <t>RECEPTACLE (E)/93</t>
  </si>
  <si>
    <t>RECEPTACLE (E)/94</t>
  </si>
  <si>
    <t>RECEPTACLE (E)/95</t>
  </si>
  <si>
    <t>RECEPTACLE (E)/96</t>
  </si>
  <si>
    <t>RECEPTACLE (E)/97</t>
  </si>
  <si>
    <t>RECEPTACLE (E)/98</t>
  </si>
  <si>
    <t>RECEPTACLE (E)/99</t>
  </si>
  <si>
    <t>RECEPTACLE (E)/100</t>
  </si>
  <si>
    <t>RECEPTACLE (E)/101</t>
  </si>
  <si>
    <t>RECEPTACLE (E)/102</t>
  </si>
  <si>
    <t>RECEPTACLE (E)/103</t>
  </si>
  <si>
    <t>TOTAL</t>
  </si>
  <si>
    <t>SUB TOTAL</t>
  </si>
  <si>
    <t>TOTAL WATT</t>
  </si>
  <si>
    <t>TOTAL VA</t>
  </si>
  <si>
    <t>CONNECTED AMPERE</t>
  </si>
  <si>
    <t>Rumus perhitungan (angka di kolom DEMAND LOAD &amp; baris ringkasan adalah formula Excel, ikut berubah kalau data diedit):</t>
  </si>
  <si>
    <t>DEMAND LOAD R/S/T per circuit = SUMPRODUCT(qty kolom FIXTURE x baris WATT / UNIT di baris 11), dibagi rata ke fase yang berbeban (mis. /3 untuk circuit 3 fase seimbang)</t>
  </si>
  <si>
    <t>Semua kolom FIXTURE sudah punya angka WATT / UNIT.</t>
  </si>
  <si>
    <t>1 circuit tetap memakai angka demand load dari Revit (angka mati, bukan formula) karena bebannya tidak berasal dari fixture di tabel ini — mis. beban langsung dari equipment — jadi qty x watt/unit tidak akan pernah sama dengan nilai Revit.</t>
  </si>
  <si>
    <t>SUB TOTAL R/S/T (AI94..AK94) = SUM per kolom fase, baris 12-92</t>
  </si>
  <si>
    <t>TOTAL WATT (AI95) = SUB TOTAL R + S + T</t>
  </si>
  <si>
    <t>TOTAL VA (AI96) = TOTAL WATT / cos phi (sel C5)</t>
  </si>
  <si>
    <t>CONNECTED AMPERE (AI97) = TOTAL VA / (SQRT(3) x V L-L) (sel C6)</t>
  </si>
  <si>
    <t>AMPERE per circuit = SUM(R,S,T) / V(L-N) sel C7 untuk circuit 1 fase, dan / (cos phi x SQRT(3) x V L-L) untuk circuit 3 fase</t>
  </si>
  <si>
    <t>BREAKER SELECTION = rating standar terdekat yang masih di ATAS AMPERE circuit (10, 16, 20, 25, 35, 40, 50, 63, 80, 100, 125, 160, 200 A) — ikut berubah kalau ampere-nya berubah. Ini usulan ukuran breaker, tetap perlu dicek terhadap KHA kabel &amp; jenis bebannya.</t>
  </si>
  <si>
    <t>BREAKER = jenis breaker menurut jenis bebannya + rating dari BREAKER SELECTION: LIGHTING MCB 1P minimum 10A; RECEPTACLE 1 fase RCBO 2P 30mA minimum 16A; RECEPTACLE 3 fase RCCB 4P 30mA minimum 16A. Ditulis sebagai formula, jadi ikut berubah kalau ampere-nya berubah.</t>
  </si>
  <si>
    <t>TYPE &amp; OD = kabel NYY katalog PT KMI Wire and Cable (IEC 60502-1, 0,6/1 kV) — ukuran terkecil yang KHA-nya di udara (30 °C) masih di atas rating breaker, minimum LIGHTING NYY 3C x 2.5mm2, RECEPTACLE 1 fase NYY 3C x 4mm2, RECEPTACLE 3 fase NYY 5C x 4mm2. OD = overall diameter kabel itu (mm) dari katalog yang sama.</t>
  </si>
  <si>
    <t>Sel berwarna kuning (cos phi C5, tegangan C6 &amp; C7, baris WATT / UNIT 11) boleh diisi/diubah — angka di bawahnya ikut menyesuaikan.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</si>
</sst>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"/>
    <numFmt numFmtId="165" formatCode="#,##0.0"/>
  </numFmts>
  <fonts count="8" x14ac:knownFonts="1">
    <font>
      <color theme="1"/>
      <family val="2"/>
      <scheme val="minor"/>
      <sz val="11"/>
      <name val="Calibri"/>
    </font>
    <font>
      <b/>
      <sz val="13"/>
    </font>
    <font>
      <b/>
      <sz val="12"/>
    </font>
    <font>
      <sz val="11"/>
    </font>
    <font>
      <b/>
      <sz val="10"/>
    </font>
    <font>
      <sz val="10"/>
    </font>
    <font>
      <b/>
      <sz val="9"/>
    </font>
    <font>
      <color rgb="FF000000"/>
      <sz val="10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111"/>
  <sheetViews>
    <sheetView workbookViewId="0">
      <pane xSplit="4" ySplit="10" topLeftCell="E11" activePane="bottomRight" state="frozen"/>
      <selection pane="bottomRight"/>
    </sheetView>
  </sheetViews>
  <sheetFormatPr defaultRowHeight="15" outlineLevelRow="0" outlineLevelCol="0" x14ac:dyDescent="55" defaultColWidth="9"/>
  <cols>
    <col min="1" max="1" width="5.6" customWidth="1"/>
    <col min="2" max="2" width="29" customWidth="1"/>
    <col min="3" max="3" width="18" customWidth="1"/>
    <col min="4" max="4" width="17" customWidth="1"/>
    <col min="5" max="34" width="15.3" customWidth="1"/>
    <col min="35" max="37" width="11" customWidth="1"/>
    <col min="38" max="38" width="17.6" customWidth="1"/>
    <col min="39" max="39" width="9.6" customWidth="1"/>
    <col min="40" max="40" width="11.9" customWidth="1"/>
  </cols>
  <sheetData>
    <row r="1" ht="19" customHeight="1" spans="1:4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8" customHeight="1" spans="1:4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7" customHeight="1" spans="1:4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ht="17" customHeight="1" spans="1:4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ht="15" customHeight="1" spans="1:3" x14ac:dyDescent="0.25">
      <c r="A5" s="4" t="s">
        <v>4</v>
      </c>
      <c r="B5" s="4"/>
      <c r="C5" s="5">
        <v>0.8</v>
      </c>
    </row>
    <row r="6" ht="15" customHeight="1" spans="1:3" x14ac:dyDescent="0.25">
      <c r="A6" s="4" t="s">
        <v>5</v>
      </c>
      <c r="B6" s="4"/>
      <c r="C6" s="6">
        <v>380</v>
      </c>
    </row>
    <row r="7" ht="15" customHeight="1" spans="1:3" x14ac:dyDescent="0.25">
      <c r="A7" s="4" t="s">
        <v>6</v>
      </c>
      <c r="B7" s="4"/>
      <c r="C7" s="6">
        <v>220</v>
      </c>
    </row>
    <row r="9" ht="18" customHeight="1" spans="1:4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 t="s">
        <v>12</v>
      </c>
      <c r="AJ9" s="7"/>
      <c r="AK9" s="7"/>
      <c r="AL9" s="7" t="s">
        <v>13</v>
      </c>
      <c r="AM9" s="7" t="s">
        <v>14</v>
      </c>
      <c r="AN9" s="7" t="s">
        <v>15</v>
      </c>
      <c r="AO9" s="7" t="s">
        <v>16</v>
      </c>
    </row>
    <row r="10" ht="103" customHeight="1" spans="1:41" x14ac:dyDescent="0.25">
      <c r="A10" s="7"/>
      <c r="B10" s="7"/>
      <c r="C10" s="7"/>
      <c r="D10" s="7"/>
      <c r="E10" s="7" t="s">
        <v>17</v>
      </c>
      <c r="F10" s="7" t="s">
        <v>18</v>
      </c>
      <c r="G10" s="7" t="s">
        <v>19</v>
      </c>
      <c r="H10" s="7" t="s">
        <v>20</v>
      </c>
      <c r="I10" s="7" t="s">
        <v>21</v>
      </c>
      <c r="J10" s="7" t="s">
        <v>22</v>
      </c>
      <c r="K10" s="7" t="s">
        <v>23</v>
      </c>
      <c r="L10" s="7" t="s">
        <v>24</v>
      </c>
      <c r="M10" s="7" t="s">
        <v>25</v>
      </c>
      <c r="N10" s="7" t="s">
        <v>26</v>
      </c>
      <c r="O10" s="7" t="s">
        <v>27</v>
      </c>
      <c r="P10" s="7" t="s">
        <v>28</v>
      </c>
      <c r="Q10" s="7" t="s">
        <v>29</v>
      </c>
      <c r="R10" s="7" t="s">
        <v>30</v>
      </c>
      <c r="S10" s="7" t="s">
        <v>31</v>
      </c>
      <c r="T10" s="7" t="s">
        <v>32</v>
      </c>
      <c r="U10" s="7" t="s">
        <v>33</v>
      </c>
      <c r="V10" s="7" t="s">
        <v>34</v>
      </c>
      <c r="W10" s="7" t="s">
        <v>35</v>
      </c>
      <c r="X10" s="7" t="s">
        <v>36</v>
      </c>
      <c r="Y10" s="7" t="s">
        <v>37</v>
      </c>
      <c r="Z10" s="7" t="s">
        <v>38</v>
      </c>
      <c r="AA10" s="7" t="s">
        <v>39</v>
      </c>
      <c r="AB10" s="7" t="s">
        <v>40</v>
      </c>
      <c r="AC10" s="7" t="s">
        <v>41</v>
      </c>
      <c r="AD10" s="7" t="s">
        <v>42</v>
      </c>
      <c r="AE10" s="7" t="s">
        <v>43</v>
      </c>
      <c r="AF10" s="7" t="s">
        <v>44</v>
      </c>
      <c r="AG10" s="7" t="s">
        <v>45</v>
      </c>
      <c r="AH10" s="7" t="s">
        <v>46</v>
      </c>
      <c r="AI10" s="7" t="s">
        <v>47</v>
      </c>
      <c r="AJ10" s="7" t="s">
        <v>48</v>
      </c>
      <c r="AK10" s="7" t="s">
        <v>49</v>
      </c>
      <c r="AL10" s="7"/>
      <c r="AM10" s="7"/>
      <c r="AN10" s="7"/>
      <c r="AO10" s="7"/>
    </row>
    <row r="11" ht="14" customHeight="1" spans="1:41" x14ac:dyDescent="0.25">
      <c r="A11" s="8" t="s">
        <v>50</v>
      </c>
      <c r="B11" s="8"/>
      <c r="C11" s="8"/>
      <c r="D11" s="8"/>
      <c r="E11" s="9">
        <v>12</v>
      </c>
      <c r="F11" s="9">
        <v>12</v>
      </c>
      <c r="G11" s="9">
        <v>24</v>
      </c>
      <c r="H11" s="9">
        <v>24</v>
      </c>
      <c r="I11" s="9">
        <v>14</v>
      </c>
      <c r="J11" s="9">
        <v>14</v>
      </c>
      <c r="K11" s="9">
        <v>5</v>
      </c>
      <c r="L11" s="9">
        <v>5</v>
      </c>
      <c r="M11" s="9">
        <v>5</v>
      </c>
      <c r="N11" s="9">
        <v>150</v>
      </c>
      <c r="O11" s="9">
        <v>6</v>
      </c>
      <c r="P11" s="9">
        <v>18</v>
      </c>
      <c r="Q11" s="9">
        <v>18</v>
      </c>
      <c r="R11" s="9">
        <v>40</v>
      </c>
      <c r="S11" s="9">
        <v>40</v>
      </c>
      <c r="T11" s="9">
        <v>40</v>
      </c>
      <c r="U11" s="9">
        <v>40</v>
      </c>
      <c r="V11" s="9">
        <v>30</v>
      </c>
      <c r="W11" s="9">
        <v>2200</v>
      </c>
      <c r="X11" s="9">
        <v>3000</v>
      </c>
      <c r="Y11" s="9">
        <v>22000</v>
      </c>
      <c r="Z11" s="9">
        <v>200</v>
      </c>
      <c r="AA11" s="9">
        <v>200</v>
      </c>
      <c r="AB11" s="9">
        <v>200</v>
      </c>
      <c r="AC11" s="9">
        <v>200</v>
      </c>
      <c r="AD11" s="9">
        <v>200</v>
      </c>
      <c r="AE11" s="9">
        <v>1000</v>
      </c>
      <c r="AF11" s="9">
        <v>200</v>
      </c>
      <c r="AG11" s="9">
        <v>200</v>
      </c>
      <c r="AH11" s="9">
        <v>9000</v>
      </c>
      <c r="AI11" s="10"/>
      <c r="AJ11" s="10"/>
      <c r="AK11" s="10"/>
      <c r="AL11" s="10"/>
      <c r="AM11" s="10"/>
      <c r="AN11" s="10"/>
      <c r="AO11" s="10"/>
    </row>
    <row r="12" spans="1:41" x14ac:dyDescent="0.25">
      <c r="A12" s="11">
        <v>1</v>
      </c>
      <c r="B12" s="12" t="s">
        <v>51</v>
      </c>
      <c r="C12" s="11" t="str">
        <f>IF(AM12="","MCB 1P 10A",IF(AM12&lt;=10,"MCB 1P 10A",IF(AM12&lt;=16,"MCB 1P 16A",IF(AM12&lt;=20,"MCB 1P 20A",IF(AM12&lt;=25,"MCB 1P 25A",IF(AM12&lt;=35,"MCB 1P 35A",IF(AM12&lt;=40,"MCB 1P 40A",IF(AM12&lt;=50,"MCB 1P 50A",IF(AM12&lt;=63,"MCB 1P 63A",IF(AM12&lt;=80,"MCB 1P 80A",IF(AM12&lt;=100,"MCB 1P 100A",IF(AM12&lt;=125,"MCB 1P 125A",IF(AM12&lt;=160,"MCB 1P 160A",IF(AM12&lt;=200,"MCB 1P 200A","MCB 1P &gt; 200A"))))))))))))))</f>
        <v>MCB 1P 10A</v>
      </c>
      <c r="D12" s="12" t="str">
        <f>IF(AM12="","NYY 3C x 2.5mm2",IF(AM12&lt;=10,"NYY 3C x 2.5mm2",IF(AM12&lt;=16,"NYY 3C x 2.5mm2",IF(AM12&lt;=20,"NYY 3C x 2.5mm2",IF(AM12&lt;=25,"NYY 3C x 2.5mm2",IF(AM12&lt;=35,"NYY 3C x 6mm2",IF(AM12&lt;=40,"NYY 3C x 6mm2",IF(AM12&lt;=50,"NYY 3C x 10mm2",IF(AM12&lt;=63,"NYY 3C x 16mm2",IF(AM12&lt;=80,"NYY 3C x 25mm2",IF(AM12&lt;=100,"NYY 3C x 25mm2",IF(AM12&lt;=125,"NYY 3C x 35mm2",IF(AM12&lt;=160,"NYY 3C x 50mm2",IF(AM12&lt;=200,"NYY 3C x 70mm2",""))))))))))))))</f>
        <v>NYY 3C x 2.5mm2</v>
      </c>
      <c r="E12" s="13"/>
      <c r="F12" s="13"/>
      <c r="G12" s="13"/>
      <c r="H12" s="13"/>
      <c r="I12" s="13"/>
      <c r="J12" s="13"/>
      <c r="K12" s="13"/>
      <c r="L12" s="13"/>
      <c r="M12" s="13"/>
      <c r="N12" s="13">
        <v>9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>
        <f>SUMPRODUCT(E12:AH12,E$11:AH$11)</f>
        <v>1350</v>
      </c>
      <c r="AJ12" s="14"/>
      <c r="AK12" s="14"/>
      <c r="AL12" s="12" t="s">
        <v>52</v>
      </c>
      <c r="AM12" s="15">
        <f>SUM(AI12:AK12)/C$7</f>
        <v>6.14</v>
      </c>
      <c r="AN12" s="11" t="str">
        <f>IF(AM12="","",IF(AM12&lt;=10,"10A",IF(AM12&lt;=16,"16A",IF(AM12&lt;=20,"20A",IF(AM12&lt;=25,"25A",IF(AM12&lt;=35,"35A",IF(AM12&lt;=40,"40A",IF(AM12&lt;=50,"50A",IF(AM12&lt;=63,"63A",IF(AM12&lt;=80,"80A",IF(AM12&lt;=100,"100A",IF(AM12&lt;=125,"125A",IF(AM12&lt;=160,"160A",IF(AM12&lt;=200,"200A","&gt; 200A"))))))))))))))</f>
        <v>10A</v>
      </c>
      <c r="AO12" s="16">
        <f>IF(AM12="",14,IF(AM12&lt;=10,14,IF(AM12&lt;=16,14,IF(AM12&lt;=20,14,IF(AM12&lt;=25,14,IF(AM12&lt;=35,17.3,IF(AM12&lt;=40,17.3,IF(AM12&lt;=50,19.4,IF(AM12&lt;=63,22,IF(AM12&lt;=80,25,IF(AM12&lt;=100,25,IF(AM12&lt;=125,27.5,IF(AM12&lt;=160,30,IF(AM12&lt;=200,34,""))))))))))))))</f>
        <v>14</v>
      </c>
    </row>
    <row r="13" spans="1:41" x14ac:dyDescent="0.25">
      <c r="A13" s="11">
        <v>2</v>
      </c>
      <c r="B13" s="12" t="s">
        <v>53</v>
      </c>
      <c r="C13" s="11" t="str">
        <f>IF(AM13="","MCB 1P 10A",IF(AM13&lt;=10,"MCB 1P 10A",IF(AM13&lt;=16,"MCB 1P 16A",IF(AM13&lt;=20,"MCB 1P 20A",IF(AM13&lt;=25,"MCB 1P 25A",IF(AM13&lt;=35,"MCB 1P 35A",IF(AM13&lt;=40,"MCB 1P 40A",IF(AM13&lt;=50,"MCB 1P 50A",IF(AM13&lt;=63,"MCB 1P 63A",IF(AM13&lt;=80,"MCB 1P 80A",IF(AM13&lt;=100,"MCB 1P 100A",IF(AM13&lt;=125,"MCB 1P 125A",IF(AM13&lt;=160,"MCB 1P 160A",IF(AM13&lt;=200,"MCB 1P 200A","MCB 1P &gt; 200A"))))))))))))))</f>
        <v>MCB 1P 10A</v>
      </c>
      <c r="D13" s="12" t="str">
        <f>IF(AM13="","NYY 3C x 2.5mm2",IF(AM13&lt;=10,"NYY 3C x 2.5mm2",IF(AM13&lt;=16,"NYY 3C x 2.5mm2",IF(AM13&lt;=20,"NYY 3C x 2.5mm2",IF(AM13&lt;=25,"NYY 3C x 2.5mm2",IF(AM13&lt;=35,"NYY 3C x 6mm2",IF(AM13&lt;=40,"NYY 3C x 6mm2",IF(AM13&lt;=50,"NYY 3C x 10mm2",IF(AM13&lt;=63,"NYY 3C x 16mm2",IF(AM13&lt;=80,"NYY 3C x 25mm2",IF(AM13&lt;=100,"NYY 3C x 25mm2",IF(AM13&lt;=125,"NYY 3C x 35mm2",IF(AM13&lt;=160,"NYY 3C x 50mm2",IF(AM13&lt;=200,"NYY 3C x 70mm2",""))))))))))))))</f>
        <v>NYY 3C x 2.5mm2</v>
      </c>
      <c r="E13" s="13"/>
      <c r="F13" s="13"/>
      <c r="G13" s="13"/>
      <c r="H13" s="13"/>
      <c r="I13" s="13"/>
      <c r="J13" s="13"/>
      <c r="K13" s="13"/>
      <c r="L13" s="13"/>
      <c r="M13" s="13"/>
      <c r="N13" s="13">
        <v>10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4">
        <f>SUMPRODUCT(E13:AH13,E$11:AH$11)</f>
        <v>1500</v>
      </c>
      <c r="AK13" s="14"/>
      <c r="AL13" s="12" t="s">
        <v>52</v>
      </c>
      <c r="AM13" s="15">
        <f>SUM(AI13:AK13)/C$7</f>
        <v>6.82</v>
      </c>
      <c r="AN13" s="11" t="str">
        <f>IF(AM13="","",IF(AM13&lt;=10,"10A",IF(AM13&lt;=16,"16A",IF(AM13&lt;=20,"20A",IF(AM13&lt;=25,"25A",IF(AM13&lt;=35,"35A",IF(AM13&lt;=40,"40A",IF(AM13&lt;=50,"50A",IF(AM13&lt;=63,"63A",IF(AM13&lt;=80,"80A",IF(AM13&lt;=100,"100A",IF(AM13&lt;=125,"125A",IF(AM13&lt;=160,"160A",IF(AM13&lt;=200,"200A","&gt; 200A"))))))))))))))</f>
        <v>10A</v>
      </c>
      <c r="AO13" s="16">
        <f>IF(AM13="",14,IF(AM13&lt;=10,14,IF(AM13&lt;=16,14,IF(AM13&lt;=20,14,IF(AM13&lt;=25,14,IF(AM13&lt;=35,17.3,IF(AM13&lt;=40,17.3,IF(AM13&lt;=50,19.4,IF(AM13&lt;=63,22,IF(AM13&lt;=80,25,IF(AM13&lt;=100,25,IF(AM13&lt;=125,27.5,IF(AM13&lt;=160,30,IF(AM13&lt;=200,34,""))))))))))))))</f>
        <v>14</v>
      </c>
    </row>
    <row r="14" spans="1:41" x14ac:dyDescent="0.25">
      <c r="A14" s="11">
        <v>3</v>
      </c>
      <c r="B14" s="12" t="s">
        <v>54</v>
      </c>
      <c r="C14" s="11" t="str">
        <f>IF(AM14="","MCB 1P 10A",IF(AM14&lt;=10,"MCB 1P 10A",IF(AM14&lt;=16,"MCB 1P 16A",IF(AM14&lt;=20,"MCB 1P 20A",IF(AM14&lt;=25,"MCB 1P 25A",IF(AM14&lt;=35,"MCB 1P 35A",IF(AM14&lt;=40,"MCB 1P 40A",IF(AM14&lt;=50,"MCB 1P 50A",IF(AM14&lt;=63,"MCB 1P 63A",IF(AM14&lt;=80,"MCB 1P 80A",IF(AM14&lt;=100,"MCB 1P 100A",IF(AM14&lt;=125,"MCB 1P 125A",IF(AM14&lt;=160,"MCB 1P 160A",IF(AM14&lt;=200,"MCB 1P 200A","MCB 1P &gt; 200A"))))))))))))))</f>
        <v>MCB 1P 10A</v>
      </c>
      <c r="D14" s="12" t="str">
        <f>IF(AM14="","NYY 3C x 2.5mm2",IF(AM14&lt;=10,"NYY 3C x 2.5mm2",IF(AM14&lt;=16,"NYY 3C x 2.5mm2",IF(AM14&lt;=20,"NYY 3C x 2.5mm2",IF(AM14&lt;=25,"NYY 3C x 2.5mm2",IF(AM14&lt;=35,"NYY 3C x 6mm2",IF(AM14&lt;=40,"NYY 3C x 6mm2",IF(AM14&lt;=50,"NYY 3C x 10mm2",IF(AM14&lt;=63,"NYY 3C x 16mm2",IF(AM14&lt;=80,"NYY 3C x 25mm2",IF(AM14&lt;=100,"NYY 3C x 25mm2",IF(AM14&lt;=125,"NYY 3C x 35mm2",IF(AM14&lt;=160,"NYY 3C x 50mm2",IF(AM14&lt;=200,"NYY 3C x 70mm2",""))))))))))))))</f>
        <v>NYY 3C x 2.5mm2</v>
      </c>
      <c r="E14" s="13"/>
      <c r="F14" s="13"/>
      <c r="G14" s="13"/>
      <c r="H14" s="13"/>
      <c r="I14" s="13"/>
      <c r="J14" s="13"/>
      <c r="K14" s="13"/>
      <c r="L14" s="13"/>
      <c r="M14" s="13"/>
      <c r="N14" s="13">
        <v>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/>
      <c r="AJ14" s="14"/>
      <c r="AK14" s="14">
        <f>SUMPRODUCT(E14:AH14,E$11:AH$11)</f>
        <v>1200</v>
      </c>
      <c r="AL14" s="12" t="s">
        <v>52</v>
      </c>
      <c r="AM14" s="15">
        <f>SUM(AI14:AK14)/C$7</f>
        <v>5.45</v>
      </c>
      <c r="AN14" s="11" t="str">
        <f>IF(AM14="","",IF(AM14&lt;=10,"10A",IF(AM14&lt;=16,"16A",IF(AM14&lt;=20,"20A",IF(AM14&lt;=25,"25A",IF(AM14&lt;=35,"35A",IF(AM14&lt;=40,"40A",IF(AM14&lt;=50,"50A",IF(AM14&lt;=63,"63A",IF(AM14&lt;=80,"80A",IF(AM14&lt;=100,"100A",IF(AM14&lt;=125,"125A",IF(AM14&lt;=160,"160A",IF(AM14&lt;=200,"200A","&gt; 200A"))))))))))))))</f>
        <v>10A</v>
      </c>
      <c r="AO14" s="16">
        <f>IF(AM14="",14,IF(AM14&lt;=10,14,IF(AM14&lt;=16,14,IF(AM14&lt;=20,14,IF(AM14&lt;=25,14,IF(AM14&lt;=35,17.3,IF(AM14&lt;=40,17.3,IF(AM14&lt;=50,19.4,IF(AM14&lt;=63,22,IF(AM14&lt;=80,25,IF(AM14&lt;=100,25,IF(AM14&lt;=125,27.5,IF(AM14&lt;=160,30,IF(AM14&lt;=200,34,""))))))))))))))</f>
        <v>14</v>
      </c>
    </row>
    <row r="15" spans="1:41" x14ac:dyDescent="0.25">
      <c r="A15" s="11">
        <v>4</v>
      </c>
      <c r="B15" s="12" t="s">
        <v>55</v>
      </c>
      <c r="C15" s="11" t="str">
        <f>IF(AM15="","MCB 1P 10A",IF(AM15&lt;=10,"MCB 1P 10A",IF(AM15&lt;=16,"MCB 1P 16A",IF(AM15&lt;=20,"MCB 1P 20A",IF(AM15&lt;=25,"MCB 1P 25A",IF(AM15&lt;=35,"MCB 1P 35A",IF(AM15&lt;=40,"MCB 1P 40A",IF(AM15&lt;=50,"MCB 1P 50A",IF(AM15&lt;=63,"MCB 1P 63A",IF(AM15&lt;=80,"MCB 1P 80A",IF(AM15&lt;=100,"MCB 1P 100A",IF(AM15&lt;=125,"MCB 1P 125A",IF(AM15&lt;=160,"MCB 1P 160A",IF(AM15&lt;=200,"MCB 1P 200A","MCB 1P &gt; 200A"))))))))))))))</f>
        <v>MCB 1P 10A</v>
      </c>
      <c r="D15" s="12" t="str">
        <f>IF(AM15="","NYY 3C x 2.5mm2",IF(AM15&lt;=10,"NYY 3C x 2.5mm2",IF(AM15&lt;=16,"NYY 3C x 2.5mm2",IF(AM15&lt;=20,"NYY 3C x 2.5mm2",IF(AM15&lt;=25,"NYY 3C x 2.5mm2",IF(AM15&lt;=35,"NYY 3C x 6mm2",IF(AM15&lt;=40,"NYY 3C x 6mm2",IF(AM15&lt;=50,"NYY 3C x 10mm2",IF(AM15&lt;=63,"NYY 3C x 16mm2",IF(AM15&lt;=80,"NYY 3C x 25mm2",IF(AM15&lt;=100,"NYY 3C x 25mm2",IF(AM15&lt;=125,"NYY 3C x 35mm2",IF(AM15&lt;=160,"NYY 3C x 50mm2",IF(AM15&lt;=200,"NYY 3C x 70mm2",""))))))))))))))</f>
        <v>NYY 3C x 2.5mm2</v>
      </c>
      <c r="E15" s="13"/>
      <c r="F15" s="13"/>
      <c r="G15" s="13"/>
      <c r="H15" s="13"/>
      <c r="I15" s="13"/>
      <c r="J15" s="13"/>
      <c r="K15" s="13"/>
      <c r="L15" s="13"/>
      <c r="M15" s="13"/>
      <c r="N15" s="13">
        <v>10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>
        <f>SUMPRODUCT(E15:AH15,E$11:AH$11)</f>
        <v>1500</v>
      </c>
      <c r="AJ15" s="14"/>
      <c r="AK15" s="14"/>
      <c r="AL15" s="12" t="s">
        <v>52</v>
      </c>
      <c r="AM15" s="15">
        <f>SUM(AI15:AK15)/C$7</f>
        <v>6.82</v>
      </c>
      <c r="AN15" s="11" t="str">
        <f>IF(AM15="","",IF(AM15&lt;=10,"10A",IF(AM15&lt;=16,"16A",IF(AM15&lt;=20,"20A",IF(AM15&lt;=25,"25A",IF(AM15&lt;=35,"35A",IF(AM15&lt;=40,"40A",IF(AM15&lt;=50,"50A",IF(AM15&lt;=63,"63A",IF(AM15&lt;=80,"80A",IF(AM15&lt;=100,"100A",IF(AM15&lt;=125,"125A",IF(AM15&lt;=160,"160A",IF(AM15&lt;=200,"200A","&gt; 200A"))))))))))))))</f>
        <v>10A</v>
      </c>
      <c r="AO15" s="16">
        <f>IF(AM15="",14,IF(AM15&lt;=10,14,IF(AM15&lt;=16,14,IF(AM15&lt;=20,14,IF(AM15&lt;=25,14,IF(AM15&lt;=35,17.3,IF(AM15&lt;=40,17.3,IF(AM15&lt;=50,19.4,IF(AM15&lt;=63,22,IF(AM15&lt;=80,25,IF(AM15&lt;=100,25,IF(AM15&lt;=125,27.5,IF(AM15&lt;=160,30,IF(AM15&lt;=200,34,""))))))))))))))</f>
        <v>14</v>
      </c>
    </row>
    <row r="16" spans="1:41" x14ac:dyDescent="0.25">
      <c r="A16" s="11">
        <v>5</v>
      </c>
      <c r="B16" s="12" t="s">
        <v>56</v>
      </c>
      <c r="C16" s="11" t="str">
        <f>IF(AM16="","MCB 1P 10A",IF(AM16&lt;=10,"MCB 1P 10A",IF(AM16&lt;=16,"MCB 1P 16A",IF(AM16&lt;=20,"MCB 1P 20A",IF(AM16&lt;=25,"MCB 1P 25A",IF(AM16&lt;=35,"MCB 1P 35A",IF(AM16&lt;=40,"MCB 1P 40A",IF(AM16&lt;=50,"MCB 1P 50A",IF(AM16&lt;=63,"MCB 1P 63A",IF(AM16&lt;=80,"MCB 1P 80A",IF(AM16&lt;=100,"MCB 1P 100A",IF(AM16&lt;=125,"MCB 1P 125A",IF(AM16&lt;=160,"MCB 1P 160A",IF(AM16&lt;=200,"MCB 1P 200A","MCB 1P &gt; 200A"))))))))))))))</f>
        <v>MCB 1P 10A</v>
      </c>
      <c r="D16" s="12" t="str">
        <f>IF(AM16="","NYY 3C x 2.5mm2",IF(AM16&lt;=10,"NYY 3C x 2.5mm2",IF(AM16&lt;=16,"NYY 3C x 2.5mm2",IF(AM16&lt;=20,"NYY 3C x 2.5mm2",IF(AM16&lt;=25,"NYY 3C x 2.5mm2",IF(AM16&lt;=35,"NYY 3C x 6mm2",IF(AM16&lt;=40,"NYY 3C x 6mm2",IF(AM16&lt;=50,"NYY 3C x 10mm2",IF(AM16&lt;=63,"NYY 3C x 16mm2",IF(AM16&lt;=80,"NYY 3C x 25mm2",IF(AM16&lt;=100,"NYY 3C x 25mm2",IF(AM16&lt;=125,"NYY 3C x 35mm2",IF(AM16&lt;=160,"NYY 3C x 50mm2",IF(AM16&lt;=200,"NYY 3C x 70mm2",""))))))))))))))</f>
        <v>NYY 3C x 2.5mm2</v>
      </c>
      <c r="E16" s="13"/>
      <c r="F16" s="13"/>
      <c r="G16" s="13"/>
      <c r="H16" s="13"/>
      <c r="I16" s="13"/>
      <c r="J16" s="13"/>
      <c r="K16" s="13"/>
      <c r="L16" s="13"/>
      <c r="M16" s="13"/>
      <c r="N16" s="13">
        <v>8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  <c r="AJ16" s="14">
        <f>SUMPRODUCT(E16:AH16,E$11:AH$11)</f>
        <v>1200</v>
      </c>
      <c r="AK16" s="14"/>
      <c r="AL16" s="12" t="s">
        <v>52</v>
      </c>
      <c r="AM16" s="15">
        <f>SUM(AI16:AK16)/C$7</f>
        <v>5.45</v>
      </c>
      <c r="AN16" s="11" t="str">
        <f>IF(AM16="","",IF(AM16&lt;=10,"10A",IF(AM16&lt;=16,"16A",IF(AM16&lt;=20,"20A",IF(AM16&lt;=25,"25A",IF(AM16&lt;=35,"35A",IF(AM16&lt;=40,"40A",IF(AM16&lt;=50,"50A",IF(AM16&lt;=63,"63A",IF(AM16&lt;=80,"80A",IF(AM16&lt;=100,"100A",IF(AM16&lt;=125,"125A",IF(AM16&lt;=160,"160A",IF(AM16&lt;=200,"200A","&gt; 200A"))))))))))))))</f>
        <v>10A</v>
      </c>
      <c r="AO16" s="16">
        <f>IF(AM16="",14,IF(AM16&lt;=10,14,IF(AM16&lt;=16,14,IF(AM16&lt;=20,14,IF(AM16&lt;=25,14,IF(AM16&lt;=35,17.3,IF(AM16&lt;=40,17.3,IF(AM16&lt;=50,19.4,IF(AM16&lt;=63,22,IF(AM16&lt;=80,25,IF(AM16&lt;=100,25,IF(AM16&lt;=125,27.5,IF(AM16&lt;=160,30,IF(AM16&lt;=200,34,""))))))))))))))</f>
        <v>14</v>
      </c>
    </row>
    <row r="17" spans="1:41" x14ac:dyDescent="0.25">
      <c r="A17" s="11">
        <v>6</v>
      </c>
      <c r="B17" s="12" t="s">
        <v>57</v>
      </c>
      <c r="C17" s="11" t="str">
        <f>IF(AM17="","MCB 1P 10A",IF(AM17&lt;=10,"MCB 1P 10A",IF(AM17&lt;=16,"MCB 1P 16A",IF(AM17&lt;=20,"MCB 1P 20A",IF(AM17&lt;=25,"MCB 1P 25A",IF(AM17&lt;=35,"MCB 1P 35A",IF(AM17&lt;=40,"MCB 1P 40A",IF(AM17&lt;=50,"MCB 1P 50A",IF(AM17&lt;=63,"MCB 1P 63A",IF(AM17&lt;=80,"MCB 1P 80A",IF(AM17&lt;=100,"MCB 1P 100A",IF(AM17&lt;=125,"MCB 1P 125A",IF(AM17&lt;=160,"MCB 1P 160A",IF(AM17&lt;=200,"MCB 1P 200A","MCB 1P &gt; 200A"))))))))))))))</f>
        <v>MCB 1P 10A</v>
      </c>
      <c r="D17" s="12" t="str">
        <f>IF(AM17="","NYY 3C x 2.5mm2",IF(AM17&lt;=10,"NYY 3C x 2.5mm2",IF(AM17&lt;=16,"NYY 3C x 2.5mm2",IF(AM17&lt;=20,"NYY 3C x 2.5mm2",IF(AM17&lt;=25,"NYY 3C x 2.5mm2",IF(AM17&lt;=35,"NYY 3C x 6mm2",IF(AM17&lt;=40,"NYY 3C x 6mm2",IF(AM17&lt;=50,"NYY 3C x 10mm2",IF(AM17&lt;=63,"NYY 3C x 16mm2",IF(AM17&lt;=80,"NYY 3C x 25mm2",IF(AM17&lt;=100,"NYY 3C x 25mm2",IF(AM17&lt;=125,"NYY 3C x 35mm2",IF(AM17&lt;=160,"NYY 3C x 50mm2",IF(AM17&lt;=200,"NYY 3C x 70mm2",""))))))))))))))</f>
        <v>NYY 3C x 2.5mm2</v>
      </c>
      <c r="E17" s="13"/>
      <c r="F17" s="13"/>
      <c r="G17" s="13"/>
      <c r="H17" s="13"/>
      <c r="I17" s="13"/>
      <c r="J17" s="13"/>
      <c r="K17" s="13"/>
      <c r="L17" s="13"/>
      <c r="M17" s="13"/>
      <c r="N17" s="13">
        <v>9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s="14"/>
      <c r="AK17" s="14">
        <f>SUMPRODUCT(E17:AH17,E$11:AH$11)</f>
        <v>1350</v>
      </c>
      <c r="AL17" s="12" t="s">
        <v>52</v>
      </c>
      <c r="AM17" s="15">
        <f>SUM(AI17:AK17)/C$7</f>
        <v>6.14</v>
      </c>
      <c r="AN17" s="11" t="str">
        <f>IF(AM17="","",IF(AM17&lt;=10,"10A",IF(AM17&lt;=16,"16A",IF(AM17&lt;=20,"20A",IF(AM17&lt;=25,"25A",IF(AM17&lt;=35,"35A",IF(AM17&lt;=40,"40A",IF(AM17&lt;=50,"50A",IF(AM17&lt;=63,"63A",IF(AM17&lt;=80,"80A",IF(AM17&lt;=100,"100A",IF(AM17&lt;=125,"125A",IF(AM17&lt;=160,"160A",IF(AM17&lt;=200,"200A","&gt; 200A"))))))))))))))</f>
        <v>10A</v>
      </c>
      <c r="AO17" s="16">
        <f>IF(AM17="",14,IF(AM17&lt;=10,14,IF(AM17&lt;=16,14,IF(AM17&lt;=20,14,IF(AM17&lt;=25,14,IF(AM17&lt;=35,17.3,IF(AM17&lt;=40,17.3,IF(AM17&lt;=50,19.4,IF(AM17&lt;=63,22,IF(AM17&lt;=80,25,IF(AM17&lt;=100,25,IF(AM17&lt;=125,27.5,IF(AM17&lt;=160,30,IF(AM17&lt;=200,34,""))))))))))))))</f>
        <v>14</v>
      </c>
    </row>
    <row r="18" spans="1:41" x14ac:dyDescent="0.25">
      <c r="A18" s="11">
        <v>7</v>
      </c>
      <c r="B18" s="12" t="s">
        <v>58</v>
      </c>
      <c r="C18" s="11" t="str">
        <f>IF(AM18="","MCB 1P 10A",IF(AM18&lt;=10,"MCB 1P 10A",IF(AM18&lt;=16,"MCB 1P 16A",IF(AM18&lt;=20,"MCB 1P 20A",IF(AM18&lt;=25,"MCB 1P 25A",IF(AM18&lt;=35,"MCB 1P 35A",IF(AM18&lt;=40,"MCB 1P 40A",IF(AM18&lt;=50,"MCB 1P 50A",IF(AM18&lt;=63,"MCB 1P 63A",IF(AM18&lt;=80,"MCB 1P 80A",IF(AM18&lt;=100,"MCB 1P 100A",IF(AM18&lt;=125,"MCB 1P 125A",IF(AM18&lt;=160,"MCB 1P 160A",IF(AM18&lt;=200,"MCB 1P 200A","MCB 1P &gt; 200A"))))))))))))))</f>
        <v>MCB 1P 10A</v>
      </c>
      <c r="D18" s="12" t="str">
        <f>IF(AM18="","NYY 3C x 2.5mm2",IF(AM18&lt;=10,"NYY 3C x 2.5mm2",IF(AM18&lt;=16,"NYY 3C x 2.5mm2",IF(AM18&lt;=20,"NYY 3C x 2.5mm2",IF(AM18&lt;=25,"NYY 3C x 2.5mm2",IF(AM18&lt;=35,"NYY 3C x 6mm2",IF(AM18&lt;=40,"NYY 3C x 6mm2",IF(AM18&lt;=50,"NYY 3C x 10mm2",IF(AM18&lt;=63,"NYY 3C x 16mm2",IF(AM18&lt;=80,"NYY 3C x 25mm2",IF(AM18&lt;=100,"NYY 3C x 25mm2",IF(AM18&lt;=125,"NYY 3C x 35mm2",IF(AM18&lt;=160,"NYY 3C x 50mm2",IF(AM18&lt;=200,"NYY 3C x 70mm2",""))))))))))))))</f>
        <v>NYY 3C x 2.5mm2</v>
      </c>
      <c r="E18" s="13"/>
      <c r="F18" s="13"/>
      <c r="G18" s="13"/>
      <c r="H18" s="13"/>
      <c r="I18" s="13"/>
      <c r="J18" s="13"/>
      <c r="K18" s="13"/>
      <c r="L18" s="13"/>
      <c r="M18" s="13"/>
      <c r="N18" s="13">
        <v>8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>
        <f>SUMPRODUCT(E18:AH18,E$11:AH$11)</f>
        <v>1200</v>
      </c>
      <c r="AJ18" s="14"/>
      <c r="AK18" s="14"/>
      <c r="AL18" s="12" t="s">
        <v>52</v>
      </c>
      <c r="AM18" s="15">
        <f>SUM(AI18:AK18)/C$7</f>
        <v>5.45</v>
      </c>
      <c r="AN18" s="11" t="str">
        <f>IF(AM18="","",IF(AM18&lt;=10,"10A",IF(AM18&lt;=16,"16A",IF(AM18&lt;=20,"20A",IF(AM18&lt;=25,"25A",IF(AM18&lt;=35,"35A",IF(AM18&lt;=40,"40A",IF(AM18&lt;=50,"50A",IF(AM18&lt;=63,"63A",IF(AM18&lt;=80,"80A",IF(AM18&lt;=100,"100A",IF(AM18&lt;=125,"125A",IF(AM18&lt;=160,"160A",IF(AM18&lt;=200,"200A","&gt; 200A"))))))))))))))</f>
        <v>10A</v>
      </c>
      <c r="AO18" s="16">
        <f>IF(AM18="",14,IF(AM18&lt;=10,14,IF(AM18&lt;=16,14,IF(AM18&lt;=20,14,IF(AM18&lt;=25,14,IF(AM18&lt;=35,17.3,IF(AM18&lt;=40,17.3,IF(AM18&lt;=50,19.4,IF(AM18&lt;=63,22,IF(AM18&lt;=80,25,IF(AM18&lt;=100,25,IF(AM18&lt;=125,27.5,IF(AM18&lt;=160,30,IF(AM18&lt;=200,34,""))))))))))))))</f>
        <v>14</v>
      </c>
    </row>
    <row r="19" spans="1:41" x14ac:dyDescent="0.25">
      <c r="A19" s="11">
        <v>8</v>
      </c>
      <c r="B19" s="12" t="s">
        <v>59</v>
      </c>
      <c r="C19" s="11" t="str">
        <f>IF(AM19="","MCB 1P 10A",IF(AM19&lt;=10,"MCB 1P 10A",IF(AM19&lt;=16,"MCB 1P 16A",IF(AM19&lt;=20,"MCB 1P 20A",IF(AM19&lt;=25,"MCB 1P 25A",IF(AM19&lt;=35,"MCB 1P 35A",IF(AM19&lt;=40,"MCB 1P 40A",IF(AM19&lt;=50,"MCB 1P 50A",IF(AM19&lt;=63,"MCB 1P 63A",IF(AM19&lt;=80,"MCB 1P 80A",IF(AM19&lt;=100,"MCB 1P 100A",IF(AM19&lt;=125,"MCB 1P 125A",IF(AM19&lt;=160,"MCB 1P 160A",IF(AM19&lt;=200,"MCB 1P 200A","MCB 1P &gt; 200A"))))))))))))))</f>
        <v>MCB 1P 10A</v>
      </c>
      <c r="D19" s="12" t="str">
        <f>IF(AM19="","NYY 3C x 2.5mm2",IF(AM19&lt;=10,"NYY 3C x 2.5mm2",IF(AM19&lt;=16,"NYY 3C x 2.5mm2",IF(AM19&lt;=20,"NYY 3C x 2.5mm2",IF(AM19&lt;=25,"NYY 3C x 2.5mm2",IF(AM19&lt;=35,"NYY 3C x 6mm2",IF(AM19&lt;=40,"NYY 3C x 6mm2",IF(AM19&lt;=50,"NYY 3C x 10mm2",IF(AM19&lt;=63,"NYY 3C x 16mm2",IF(AM19&lt;=80,"NYY 3C x 25mm2",IF(AM19&lt;=100,"NYY 3C x 25mm2",IF(AM19&lt;=125,"NYY 3C x 35mm2",IF(AM19&lt;=160,"NYY 3C x 50mm2",IF(AM19&lt;=200,"NYY 3C x 70mm2",""))))))))))))))</f>
        <v>NYY 3C x 2.5mm2</v>
      </c>
      <c r="E19" s="13"/>
      <c r="F19" s="13"/>
      <c r="G19" s="13"/>
      <c r="H19" s="13"/>
      <c r="I19" s="13"/>
      <c r="J19" s="13"/>
      <c r="K19" s="13"/>
      <c r="L19" s="13"/>
      <c r="M19" s="13"/>
      <c r="N19" s="13">
        <v>8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  <c r="AJ19" s="14">
        <f>SUMPRODUCT(E19:AH19,E$11:AH$11)</f>
        <v>1200</v>
      </c>
      <c r="AK19" s="14"/>
      <c r="AL19" s="12" t="s">
        <v>52</v>
      </c>
      <c r="AM19" s="15">
        <f>SUM(AI19:AK19)/C$7</f>
        <v>5.45</v>
      </c>
      <c r="AN19" s="11" t="str">
        <f>IF(AM19="","",IF(AM19&lt;=10,"10A",IF(AM19&lt;=16,"16A",IF(AM19&lt;=20,"20A",IF(AM19&lt;=25,"25A",IF(AM19&lt;=35,"35A",IF(AM19&lt;=40,"40A",IF(AM19&lt;=50,"50A",IF(AM19&lt;=63,"63A",IF(AM19&lt;=80,"80A",IF(AM19&lt;=100,"100A",IF(AM19&lt;=125,"125A",IF(AM19&lt;=160,"160A",IF(AM19&lt;=200,"200A","&gt; 200A"))))))))))))))</f>
        <v>10A</v>
      </c>
      <c r="AO19" s="16">
        <f>IF(AM19="",14,IF(AM19&lt;=10,14,IF(AM19&lt;=16,14,IF(AM19&lt;=20,14,IF(AM19&lt;=25,14,IF(AM19&lt;=35,17.3,IF(AM19&lt;=40,17.3,IF(AM19&lt;=50,19.4,IF(AM19&lt;=63,22,IF(AM19&lt;=80,25,IF(AM19&lt;=100,25,IF(AM19&lt;=125,27.5,IF(AM19&lt;=160,30,IF(AM19&lt;=200,34,""))))))))))))))</f>
        <v>14</v>
      </c>
    </row>
    <row r="20" spans="1:41" x14ac:dyDescent="0.25">
      <c r="A20" s="11">
        <v>9</v>
      </c>
      <c r="B20" s="12" t="s">
        <v>60</v>
      </c>
      <c r="C20" s="11" t="str">
        <f>IF(AM20="","MCB 1P 10A",IF(AM20&lt;=10,"MCB 1P 10A",IF(AM20&lt;=16,"MCB 1P 16A",IF(AM20&lt;=20,"MCB 1P 20A",IF(AM20&lt;=25,"MCB 1P 25A",IF(AM20&lt;=35,"MCB 1P 35A",IF(AM20&lt;=40,"MCB 1P 40A",IF(AM20&lt;=50,"MCB 1P 50A",IF(AM20&lt;=63,"MCB 1P 63A",IF(AM20&lt;=80,"MCB 1P 80A",IF(AM20&lt;=100,"MCB 1P 100A",IF(AM20&lt;=125,"MCB 1P 125A",IF(AM20&lt;=160,"MCB 1P 160A",IF(AM20&lt;=200,"MCB 1P 200A","MCB 1P &gt; 200A"))))))))))))))</f>
        <v>MCB 1P 10A</v>
      </c>
      <c r="D20" s="12" t="str">
        <f>IF(AM20="","NYY 3C x 2.5mm2",IF(AM20&lt;=10,"NYY 3C x 2.5mm2",IF(AM20&lt;=16,"NYY 3C x 2.5mm2",IF(AM20&lt;=20,"NYY 3C x 2.5mm2",IF(AM20&lt;=25,"NYY 3C x 2.5mm2",IF(AM20&lt;=35,"NYY 3C x 6mm2",IF(AM20&lt;=40,"NYY 3C x 6mm2",IF(AM20&lt;=50,"NYY 3C x 10mm2",IF(AM20&lt;=63,"NYY 3C x 16mm2",IF(AM20&lt;=80,"NYY 3C x 25mm2",IF(AM20&lt;=100,"NYY 3C x 25mm2",IF(AM20&lt;=125,"NYY 3C x 35mm2",IF(AM20&lt;=160,"NYY 3C x 50mm2",IF(AM20&lt;=200,"NYY 3C x 70mm2",""))))))))))))))</f>
        <v>NYY 3C x 2.5mm2</v>
      </c>
      <c r="E20" s="13"/>
      <c r="F20" s="13"/>
      <c r="G20" s="13"/>
      <c r="H20" s="13"/>
      <c r="I20" s="13"/>
      <c r="J20" s="13"/>
      <c r="K20" s="13"/>
      <c r="L20" s="13"/>
      <c r="M20" s="13"/>
      <c r="N20" s="13">
        <v>8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4"/>
      <c r="AK20" s="14">
        <f>SUMPRODUCT(E20:AH20,E$11:AH$11)</f>
        <v>1200</v>
      </c>
      <c r="AL20" s="12" t="s">
        <v>52</v>
      </c>
      <c r="AM20" s="15">
        <f>SUM(AI20:AK20)/C$7</f>
        <v>5.45</v>
      </c>
      <c r="AN20" s="11" t="str">
        <f>IF(AM20="","",IF(AM20&lt;=10,"10A",IF(AM20&lt;=16,"16A",IF(AM20&lt;=20,"20A",IF(AM20&lt;=25,"25A",IF(AM20&lt;=35,"35A",IF(AM20&lt;=40,"40A",IF(AM20&lt;=50,"50A",IF(AM20&lt;=63,"63A",IF(AM20&lt;=80,"80A",IF(AM20&lt;=100,"100A",IF(AM20&lt;=125,"125A",IF(AM20&lt;=160,"160A",IF(AM20&lt;=200,"200A","&gt; 200A"))))))))))))))</f>
        <v>10A</v>
      </c>
      <c r="AO20" s="16">
        <f>IF(AM20="",14,IF(AM20&lt;=10,14,IF(AM20&lt;=16,14,IF(AM20&lt;=20,14,IF(AM20&lt;=25,14,IF(AM20&lt;=35,17.3,IF(AM20&lt;=40,17.3,IF(AM20&lt;=50,19.4,IF(AM20&lt;=63,22,IF(AM20&lt;=80,25,IF(AM20&lt;=100,25,IF(AM20&lt;=125,27.5,IF(AM20&lt;=160,30,IF(AM20&lt;=200,34,""))))))))))))))</f>
        <v>14</v>
      </c>
    </row>
    <row r="21" spans="1:41" x14ac:dyDescent="0.25">
      <c r="A21" s="11">
        <v>10</v>
      </c>
      <c r="B21" s="12" t="s">
        <v>61</v>
      </c>
      <c r="C21" s="11" t="str">
        <f>IF(AM21="","MCB 1P 10A",IF(AM21&lt;=10,"MCB 1P 10A",IF(AM21&lt;=16,"MCB 1P 16A",IF(AM21&lt;=20,"MCB 1P 20A",IF(AM21&lt;=25,"MCB 1P 25A",IF(AM21&lt;=35,"MCB 1P 35A",IF(AM21&lt;=40,"MCB 1P 40A",IF(AM21&lt;=50,"MCB 1P 50A",IF(AM21&lt;=63,"MCB 1P 63A",IF(AM21&lt;=80,"MCB 1P 80A",IF(AM21&lt;=100,"MCB 1P 100A",IF(AM21&lt;=125,"MCB 1P 125A",IF(AM21&lt;=160,"MCB 1P 160A",IF(AM21&lt;=200,"MCB 1P 200A","MCB 1P &gt; 200A"))))))))))))))</f>
        <v>MCB 1P 10A</v>
      </c>
      <c r="D21" s="12" t="str">
        <f>IF(AM21="","NYY 3C x 2.5mm2",IF(AM21&lt;=10,"NYY 3C x 2.5mm2",IF(AM21&lt;=16,"NYY 3C x 2.5mm2",IF(AM21&lt;=20,"NYY 3C x 2.5mm2",IF(AM21&lt;=25,"NYY 3C x 2.5mm2",IF(AM21&lt;=35,"NYY 3C x 6mm2",IF(AM21&lt;=40,"NYY 3C x 6mm2",IF(AM21&lt;=50,"NYY 3C x 10mm2",IF(AM21&lt;=63,"NYY 3C x 16mm2",IF(AM21&lt;=80,"NYY 3C x 25mm2",IF(AM21&lt;=100,"NYY 3C x 25mm2",IF(AM21&lt;=125,"NYY 3C x 35mm2",IF(AM21&lt;=160,"NYY 3C x 50mm2",IF(AM21&lt;=200,"NYY 3C x 70mm2",""))))))))))))))</f>
        <v>NYY 3C x 2.5mm2</v>
      </c>
      <c r="E21" s="13"/>
      <c r="F21" s="13"/>
      <c r="G21" s="13"/>
      <c r="H21" s="13"/>
      <c r="I21" s="13"/>
      <c r="J21" s="13"/>
      <c r="K21" s="13"/>
      <c r="L21" s="13"/>
      <c r="M21" s="13"/>
      <c r="N21" s="13">
        <v>8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>
        <f>SUMPRODUCT(E21:AH21,E$11:AH$11)</f>
        <v>1200</v>
      </c>
      <c r="AJ21" s="14"/>
      <c r="AK21" s="14"/>
      <c r="AL21" s="12" t="s">
        <v>52</v>
      </c>
      <c r="AM21" s="15">
        <f>SUM(AI21:AK21)/C$7</f>
        <v>5.45</v>
      </c>
      <c r="AN21" s="11" t="str">
        <f>IF(AM21="","",IF(AM21&lt;=10,"10A",IF(AM21&lt;=16,"16A",IF(AM21&lt;=20,"20A",IF(AM21&lt;=25,"25A",IF(AM21&lt;=35,"35A",IF(AM21&lt;=40,"40A",IF(AM21&lt;=50,"50A",IF(AM21&lt;=63,"63A",IF(AM21&lt;=80,"80A",IF(AM21&lt;=100,"100A",IF(AM21&lt;=125,"125A",IF(AM21&lt;=160,"160A",IF(AM21&lt;=200,"200A","&gt; 200A"))))))))))))))</f>
        <v>10A</v>
      </c>
      <c r="AO21" s="16">
        <f>IF(AM21="",14,IF(AM21&lt;=10,14,IF(AM21&lt;=16,14,IF(AM21&lt;=20,14,IF(AM21&lt;=25,14,IF(AM21&lt;=35,17.3,IF(AM21&lt;=40,17.3,IF(AM21&lt;=50,19.4,IF(AM21&lt;=63,22,IF(AM21&lt;=80,25,IF(AM21&lt;=100,25,IF(AM21&lt;=125,27.5,IF(AM21&lt;=160,30,IF(AM21&lt;=200,34,""))))))))))))))</f>
        <v>14</v>
      </c>
    </row>
    <row r="22" spans="1:41" x14ac:dyDescent="0.25">
      <c r="A22" s="11">
        <v>11</v>
      </c>
      <c r="B22" s="12" t="s">
        <v>62</v>
      </c>
      <c r="C22" s="11" t="str">
        <f>IF(AM22="","MCB 1P 10A",IF(AM22&lt;=10,"MCB 1P 10A",IF(AM22&lt;=16,"MCB 1P 16A",IF(AM22&lt;=20,"MCB 1P 20A",IF(AM22&lt;=25,"MCB 1P 25A",IF(AM22&lt;=35,"MCB 1P 35A",IF(AM22&lt;=40,"MCB 1P 40A",IF(AM22&lt;=50,"MCB 1P 50A",IF(AM22&lt;=63,"MCB 1P 63A",IF(AM22&lt;=80,"MCB 1P 80A",IF(AM22&lt;=100,"MCB 1P 100A",IF(AM22&lt;=125,"MCB 1P 125A",IF(AM22&lt;=160,"MCB 1P 160A",IF(AM22&lt;=200,"MCB 1P 200A","MCB 1P &gt; 200A"))))))))))))))</f>
        <v>MCB 1P 10A</v>
      </c>
      <c r="D22" s="12" t="str">
        <f>IF(AM22="","NYY 3C x 2.5mm2",IF(AM22&lt;=10,"NYY 3C x 2.5mm2",IF(AM22&lt;=16,"NYY 3C x 2.5mm2",IF(AM22&lt;=20,"NYY 3C x 2.5mm2",IF(AM22&lt;=25,"NYY 3C x 2.5mm2",IF(AM22&lt;=35,"NYY 3C x 6mm2",IF(AM22&lt;=40,"NYY 3C x 6mm2",IF(AM22&lt;=50,"NYY 3C x 10mm2",IF(AM22&lt;=63,"NYY 3C x 16mm2",IF(AM22&lt;=80,"NYY 3C x 25mm2",IF(AM22&lt;=100,"NYY 3C x 25mm2",IF(AM22&lt;=125,"NYY 3C x 35mm2",IF(AM22&lt;=160,"NYY 3C x 50mm2",IF(AM22&lt;=200,"NYY 3C x 70mm2",""))))))))))))))</f>
        <v>NYY 3C x 2.5mm2</v>
      </c>
      <c r="E22" s="13"/>
      <c r="F22" s="13"/>
      <c r="G22" s="13"/>
      <c r="H22" s="13"/>
      <c r="I22" s="13"/>
      <c r="J22" s="13"/>
      <c r="K22" s="13"/>
      <c r="L22" s="13"/>
      <c r="M22" s="13"/>
      <c r="N22" s="13">
        <v>7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  <c r="AJ22" s="14">
        <f>SUMPRODUCT(E22:AH22,E$11:AH$11)</f>
        <v>1050</v>
      </c>
      <c r="AK22" s="14"/>
      <c r="AL22" s="12" t="s">
        <v>52</v>
      </c>
      <c r="AM22" s="15">
        <f>SUM(AI22:AK22)/C$7</f>
        <v>4.77</v>
      </c>
      <c r="AN22" s="11" t="str">
        <f>IF(AM22="","",IF(AM22&lt;=10,"10A",IF(AM22&lt;=16,"16A",IF(AM22&lt;=20,"20A",IF(AM22&lt;=25,"25A",IF(AM22&lt;=35,"35A",IF(AM22&lt;=40,"40A",IF(AM22&lt;=50,"50A",IF(AM22&lt;=63,"63A",IF(AM22&lt;=80,"80A",IF(AM22&lt;=100,"100A",IF(AM22&lt;=125,"125A",IF(AM22&lt;=160,"160A",IF(AM22&lt;=200,"200A","&gt; 200A"))))))))))))))</f>
        <v>10A</v>
      </c>
      <c r="AO22" s="16">
        <f>IF(AM22="",14,IF(AM22&lt;=10,14,IF(AM22&lt;=16,14,IF(AM22&lt;=20,14,IF(AM22&lt;=25,14,IF(AM22&lt;=35,17.3,IF(AM22&lt;=40,17.3,IF(AM22&lt;=50,19.4,IF(AM22&lt;=63,22,IF(AM22&lt;=80,25,IF(AM22&lt;=100,25,IF(AM22&lt;=125,27.5,IF(AM22&lt;=160,30,IF(AM22&lt;=200,34,""))))))))))))))</f>
        <v>14</v>
      </c>
    </row>
    <row r="23" spans="1:41" x14ac:dyDescent="0.25">
      <c r="A23" s="11">
        <v>12</v>
      </c>
      <c r="B23" s="12" t="s">
        <v>63</v>
      </c>
      <c r="C23" s="11" t="str">
        <f>IF(AM23="","MCB 1P 10A",IF(AM23&lt;=10,"MCB 1P 10A",IF(AM23&lt;=16,"MCB 1P 16A",IF(AM23&lt;=20,"MCB 1P 20A",IF(AM23&lt;=25,"MCB 1P 25A",IF(AM23&lt;=35,"MCB 1P 35A",IF(AM23&lt;=40,"MCB 1P 40A",IF(AM23&lt;=50,"MCB 1P 50A",IF(AM23&lt;=63,"MCB 1P 63A",IF(AM23&lt;=80,"MCB 1P 80A",IF(AM23&lt;=100,"MCB 1P 100A",IF(AM23&lt;=125,"MCB 1P 125A",IF(AM23&lt;=160,"MCB 1P 160A",IF(AM23&lt;=200,"MCB 1P 200A","MCB 1P &gt; 200A"))))))))))))))</f>
        <v>MCB 1P 10A</v>
      </c>
      <c r="D23" s="12" t="str">
        <f>IF(AM23="","NYY 3C x 2.5mm2",IF(AM23&lt;=10,"NYY 3C x 2.5mm2",IF(AM23&lt;=16,"NYY 3C x 2.5mm2",IF(AM23&lt;=20,"NYY 3C x 2.5mm2",IF(AM23&lt;=25,"NYY 3C x 2.5mm2",IF(AM23&lt;=35,"NYY 3C x 6mm2",IF(AM23&lt;=40,"NYY 3C x 6mm2",IF(AM23&lt;=50,"NYY 3C x 10mm2",IF(AM23&lt;=63,"NYY 3C x 16mm2",IF(AM23&lt;=80,"NYY 3C x 25mm2",IF(AM23&lt;=100,"NYY 3C x 25mm2",IF(AM23&lt;=125,"NYY 3C x 35mm2",IF(AM23&lt;=160,"NYY 3C x 50mm2",IF(AM23&lt;=200,"NYY 3C x 70mm2",""))))))))))))))</f>
        <v>NYY 3C x 2.5mm2</v>
      </c>
      <c r="E23" s="13"/>
      <c r="F23" s="13"/>
      <c r="G23" s="13"/>
      <c r="H23" s="13"/>
      <c r="I23" s="13"/>
      <c r="J23" s="13"/>
      <c r="K23" s="13"/>
      <c r="L23" s="13"/>
      <c r="M23" s="13"/>
      <c r="N23" s="13">
        <v>8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/>
      <c r="AJ23" s="14"/>
      <c r="AK23" s="14">
        <f>SUMPRODUCT(E23:AH23,E$11:AH$11)</f>
        <v>1200</v>
      </c>
      <c r="AL23" s="12" t="s">
        <v>52</v>
      </c>
      <c r="AM23" s="15">
        <f>SUM(AI23:AK23)/C$7</f>
        <v>5.45</v>
      </c>
      <c r="AN23" s="11" t="str">
        <f>IF(AM23="","",IF(AM23&lt;=10,"10A",IF(AM23&lt;=16,"16A",IF(AM23&lt;=20,"20A",IF(AM23&lt;=25,"25A",IF(AM23&lt;=35,"35A",IF(AM23&lt;=40,"40A",IF(AM23&lt;=50,"50A",IF(AM23&lt;=63,"63A",IF(AM23&lt;=80,"80A",IF(AM23&lt;=100,"100A",IF(AM23&lt;=125,"125A",IF(AM23&lt;=160,"160A",IF(AM23&lt;=200,"200A","&gt; 200A"))))))))))))))</f>
        <v>10A</v>
      </c>
      <c r="AO23" s="16">
        <f>IF(AM23="",14,IF(AM23&lt;=10,14,IF(AM23&lt;=16,14,IF(AM23&lt;=20,14,IF(AM23&lt;=25,14,IF(AM23&lt;=35,17.3,IF(AM23&lt;=40,17.3,IF(AM23&lt;=50,19.4,IF(AM23&lt;=63,22,IF(AM23&lt;=80,25,IF(AM23&lt;=100,25,IF(AM23&lt;=125,27.5,IF(AM23&lt;=160,30,IF(AM23&lt;=200,34,""))))))))))))))</f>
        <v>14</v>
      </c>
    </row>
    <row r="24" spans="1:41" x14ac:dyDescent="0.25">
      <c r="A24" s="11">
        <v>13</v>
      </c>
      <c r="B24" s="12" t="s">
        <v>64</v>
      </c>
      <c r="C24" s="11" t="str">
        <f>IF(AM24="","MCB 1P 10A",IF(AM24&lt;=10,"MCB 1P 10A",IF(AM24&lt;=16,"MCB 1P 16A",IF(AM24&lt;=20,"MCB 1P 20A",IF(AM24&lt;=25,"MCB 1P 25A",IF(AM24&lt;=35,"MCB 1P 35A",IF(AM24&lt;=40,"MCB 1P 40A",IF(AM24&lt;=50,"MCB 1P 50A",IF(AM24&lt;=63,"MCB 1P 63A",IF(AM24&lt;=80,"MCB 1P 80A",IF(AM24&lt;=100,"MCB 1P 100A",IF(AM24&lt;=125,"MCB 1P 125A",IF(AM24&lt;=160,"MCB 1P 160A",IF(AM24&lt;=200,"MCB 1P 200A","MCB 1P &gt; 200A"))))))))))))))</f>
        <v>MCB 1P 10A</v>
      </c>
      <c r="D24" s="12" t="str">
        <f>IF(AM24="","NYY 3C x 2.5mm2",IF(AM24&lt;=10,"NYY 3C x 2.5mm2",IF(AM24&lt;=16,"NYY 3C x 2.5mm2",IF(AM24&lt;=20,"NYY 3C x 2.5mm2",IF(AM24&lt;=25,"NYY 3C x 2.5mm2",IF(AM24&lt;=35,"NYY 3C x 6mm2",IF(AM24&lt;=40,"NYY 3C x 6mm2",IF(AM24&lt;=50,"NYY 3C x 10mm2",IF(AM24&lt;=63,"NYY 3C x 16mm2",IF(AM24&lt;=80,"NYY 3C x 25mm2",IF(AM24&lt;=100,"NYY 3C x 25mm2",IF(AM24&lt;=125,"NYY 3C x 35mm2",IF(AM24&lt;=160,"NYY 3C x 50mm2",IF(AM24&lt;=200,"NYY 3C x 70mm2",""))))))))))))))</f>
        <v>NYY 3C x 2.5mm2</v>
      </c>
      <c r="E24" s="13"/>
      <c r="F24" s="13"/>
      <c r="G24" s="13"/>
      <c r="H24" s="13"/>
      <c r="I24" s="13"/>
      <c r="J24" s="13"/>
      <c r="K24" s="13"/>
      <c r="L24" s="13"/>
      <c r="M24" s="13"/>
      <c r="N24" s="13">
        <v>8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>
        <f>SUMPRODUCT(E24:AH24,E$11:AH$11)</f>
        <v>1200</v>
      </c>
      <c r="AJ24" s="14"/>
      <c r="AK24" s="14"/>
      <c r="AL24" s="12" t="s">
        <v>52</v>
      </c>
      <c r="AM24" s="15">
        <f>SUM(AI24:AK24)/C$7</f>
        <v>5.45</v>
      </c>
      <c r="AN24" s="11" t="str">
        <f>IF(AM24="","",IF(AM24&lt;=10,"10A",IF(AM24&lt;=16,"16A",IF(AM24&lt;=20,"20A",IF(AM24&lt;=25,"25A",IF(AM24&lt;=35,"35A",IF(AM24&lt;=40,"40A",IF(AM24&lt;=50,"50A",IF(AM24&lt;=63,"63A",IF(AM24&lt;=80,"80A",IF(AM24&lt;=100,"100A",IF(AM24&lt;=125,"125A",IF(AM24&lt;=160,"160A",IF(AM24&lt;=200,"200A","&gt; 200A"))))))))))))))</f>
        <v>10A</v>
      </c>
      <c r="AO24" s="16">
        <f>IF(AM24="",14,IF(AM24&lt;=10,14,IF(AM24&lt;=16,14,IF(AM24&lt;=20,14,IF(AM24&lt;=25,14,IF(AM24&lt;=35,17.3,IF(AM24&lt;=40,17.3,IF(AM24&lt;=50,19.4,IF(AM24&lt;=63,22,IF(AM24&lt;=80,25,IF(AM24&lt;=100,25,IF(AM24&lt;=125,27.5,IF(AM24&lt;=160,30,IF(AM24&lt;=200,34,""))))))))))))))</f>
        <v>14</v>
      </c>
    </row>
    <row r="25" spans="1:41" x14ac:dyDescent="0.25">
      <c r="A25" s="11">
        <v>14</v>
      </c>
      <c r="B25" s="12" t="s">
        <v>65</v>
      </c>
      <c r="C25" s="11" t="str">
        <f>IF(AM25="","MCB 1P 10A",IF(AM25&lt;=10,"MCB 1P 10A",IF(AM25&lt;=16,"MCB 1P 16A",IF(AM25&lt;=20,"MCB 1P 20A",IF(AM25&lt;=25,"MCB 1P 25A",IF(AM25&lt;=35,"MCB 1P 35A",IF(AM25&lt;=40,"MCB 1P 40A",IF(AM25&lt;=50,"MCB 1P 50A",IF(AM25&lt;=63,"MCB 1P 63A",IF(AM25&lt;=80,"MCB 1P 80A",IF(AM25&lt;=100,"MCB 1P 100A",IF(AM25&lt;=125,"MCB 1P 125A",IF(AM25&lt;=160,"MCB 1P 160A",IF(AM25&lt;=200,"MCB 1P 200A","MCB 1P &gt; 200A"))))))))))))))</f>
        <v>MCB 1P 10A</v>
      </c>
      <c r="D25" s="12" t="str">
        <f>IF(AM25="","NYY 3C x 2.5mm2",IF(AM25&lt;=10,"NYY 3C x 2.5mm2",IF(AM25&lt;=16,"NYY 3C x 2.5mm2",IF(AM25&lt;=20,"NYY 3C x 2.5mm2",IF(AM25&lt;=25,"NYY 3C x 2.5mm2",IF(AM25&lt;=35,"NYY 3C x 6mm2",IF(AM25&lt;=40,"NYY 3C x 6mm2",IF(AM25&lt;=50,"NYY 3C x 10mm2",IF(AM25&lt;=63,"NYY 3C x 16mm2",IF(AM25&lt;=80,"NYY 3C x 25mm2",IF(AM25&lt;=100,"NYY 3C x 25mm2",IF(AM25&lt;=125,"NYY 3C x 35mm2",IF(AM25&lt;=160,"NYY 3C x 50mm2",IF(AM25&lt;=200,"NYY 3C x 70mm2",""))))))))))))))</f>
        <v>NYY 3C x 2.5mm2</v>
      </c>
      <c r="E25" s="13"/>
      <c r="F25" s="13"/>
      <c r="G25" s="13"/>
      <c r="H25" s="13"/>
      <c r="I25" s="13"/>
      <c r="J25" s="13"/>
      <c r="K25" s="13"/>
      <c r="L25" s="13"/>
      <c r="M25" s="13"/>
      <c r="N25" s="13">
        <v>8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  <c r="AJ25" s="14">
        <f>SUMPRODUCT(E25:AH25,E$11:AH$11)</f>
        <v>1200</v>
      </c>
      <c r="AK25" s="14"/>
      <c r="AL25" s="12" t="s">
        <v>52</v>
      </c>
      <c r="AM25" s="15">
        <f>SUM(AI25:AK25)/C$7</f>
        <v>5.45</v>
      </c>
      <c r="AN25" s="11" t="str">
        <f>IF(AM25="","",IF(AM25&lt;=10,"10A",IF(AM25&lt;=16,"16A",IF(AM25&lt;=20,"20A",IF(AM25&lt;=25,"25A",IF(AM25&lt;=35,"35A",IF(AM25&lt;=40,"40A",IF(AM25&lt;=50,"50A",IF(AM25&lt;=63,"63A",IF(AM25&lt;=80,"80A",IF(AM25&lt;=100,"100A",IF(AM25&lt;=125,"125A",IF(AM25&lt;=160,"160A",IF(AM25&lt;=200,"200A","&gt; 200A"))))))))))))))</f>
        <v>10A</v>
      </c>
      <c r="AO25" s="16">
        <f>IF(AM25="",14,IF(AM25&lt;=10,14,IF(AM25&lt;=16,14,IF(AM25&lt;=20,14,IF(AM25&lt;=25,14,IF(AM25&lt;=35,17.3,IF(AM25&lt;=40,17.3,IF(AM25&lt;=50,19.4,IF(AM25&lt;=63,22,IF(AM25&lt;=80,25,IF(AM25&lt;=100,25,IF(AM25&lt;=125,27.5,IF(AM25&lt;=160,30,IF(AM25&lt;=200,34,""))))))))))))))</f>
        <v>14</v>
      </c>
    </row>
    <row r="26" spans="1:41" x14ac:dyDescent="0.25">
      <c r="A26" s="11">
        <v>15</v>
      </c>
      <c r="B26" s="12" t="s">
        <v>66</v>
      </c>
      <c r="C26" s="11" t="str">
        <f>IF(AM26="","MCB 1P 10A",IF(AM26&lt;=10,"MCB 1P 10A",IF(AM26&lt;=16,"MCB 1P 16A",IF(AM26&lt;=20,"MCB 1P 20A",IF(AM26&lt;=25,"MCB 1P 25A",IF(AM26&lt;=35,"MCB 1P 35A",IF(AM26&lt;=40,"MCB 1P 40A",IF(AM26&lt;=50,"MCB 1P 50A",IF(AM26&lt;=63,"MCB 1P 63A",IF(AM26&lt;=80,"MCB 1P 80A",IF(AM26&lt;=100,"MCB 1P 100A",IF(AM26&lt;=125,"MCB 1P 125A",IF(AM26&lt;=160,"MCB 1P 160A",IF(AM26&lt;=200,"MCB 1P 200A","MCB 1P &gt; 200A"))))))))))))))</f>
        <v>MCB 1P 10A</v>
      </c>
      <c r="D26" s="12" t="str">
        <f>IF(AM26="","NYY 3C x 2.5mm2",IF(AM26&lt;=10,"NYY 3C x 2.5mm2",IF(AM26&lt;=16,"NYY 3C x 2.5mm2",IF(AM26&lt;=20,"NYY 3C x 2.5mm2",IF(AM26&lt;=25,"NYY 3C x 2.5mm2",IF(AM26&lt;=35,"NYY 3C x 6mm2",IF(AM26&lt;=40,"NYY 3C x 6mm2",IF(AM26&lt;=50,"NYY 3C x 10mm2",IF(AM26&lt;=63,"NYY 3C x 16mm2",IF(AM26&lt;=80,"NYY 3C x 25mm2",IF(AM26&lt;=100,"NYY 3C x 25mm2",IF(AM26&lt;=125,"NYY 3C x 35mm2",IF(AM26&lt;=160,"NYY 3C x 50mm2",IF(AM26&lt;=200,"NYY 3C x 70mm2",""))))))))))))))</f>
        <v>NYY 3C x 2.5mm2</v>
      </c>
      <c r="E26" s="13"/>
      <c r="F26" s="13"/>
      <c r="G26" s="13"/>
      <c r="H26" s="13"/>
      <c r="I26" s="13"/>
      <c r="J26" s="13"/>
      <c r="K26" s="13"/>
      <c r="L26" s="13"/>
      <c r="M26" s="13"/>
      <c r="N26" s="13">
        <v>8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s="14"/>
      <c r="AK26" s="14">
        <f>SUMPRODUCT(E26:AH26,E$11:AH$11)</f>
        <v>1200</v>
      </c>
      <c r="AL26" s="12" t="s">
        <v>52</v>
      </c>
      <c r="AM26" s="15">
        <f>SUM(AI26:AK26)/C$7</f>
        <v>5.45</v>
      </c>
      <c r="AN26" s="11" t="str">
        <f>IF(AM26="","",IF(AM26&lt;=10,"10A",IF(AM26&lt;=16,"16A",IF(AM26&lt;=20,"20A",IF(AM26&lt;=25,"25A",IF(AM26&lt;=35,"35A",IF(AM26&lt;=40,"40A",IF(AM26&lt;=50,"50A",IF(AM26&lt;=63,"63A",IF(AM26&lt;=80,"80A",IF(AM26&lt;=100,"100A",IF(AM26&lt;=125,"125A",IF(AM26&lt;=160,"160A",IF(AM26&lt;=200,"200A","&gt; 200A"))))))))))))))</f>
        <v>10A</v>
      </c>
      <c r="AO26" s="16">
        <f>IF(AM26="",14,IF(AM26&lt;=10,14,IF(AM26&lt;=16,14,IF(AM26&lt;=20,14,IF(AM26&lt;=25,14,IF(AM26&lt;=35,17.3,IF(AM26&lt;=40,17.3,IF(AM26&lt;=50,19.4,IF(AM26&lt;=63,22,IF(AM26&lt;=80,25,IF(AM26&lt;=100,25,IF(AM26&lt;=125,27.5,IF(AM26&lt;=160,30,IF(AM26&lt;=200,34,""))))))))))))))</f>
        <v>14</v>
      </c>
    </row>
    <row r="27" spans="1:41" x14ac:dyDescent="0.25">
      <c r="A27" s="11">
        <v>16</v>
      </c>
      <c r="B27" s="12" t="s">
        <v>67</v>
      </c>
      <c r="C27" s="11" t="str">
        <f>IF(AM27="","MCB 1P 10A",IF(AM27&lt;=10,"MCB 1P 10A",IF(AM27&lt;=16,"MCB 1P 16A",IF(AM27&lt;=20,"MCB 1P 20A",IF(AM27&lt;=25,"MCB 1P 25A",IF(AM27&lt;=35,"MCB 1P 35A",IF(AM27&lt;=40,"MCB 1P 40A",IF(AM27&lt;=50,"MCB 1P 50A",IF(AM27&lt;=63,"MCB 1P 63A",IF(AM27&lt;=80,"MCB 1P 80A",IF(AM27&lt;=100,"MCB 1P 100A",IF(AM27&lt;=125,"MCB 1P 125A",IF(AM27&lt;=160,"MCB 1P 160A",IF(AM27&lt;=200,"MCB 1P 200A","MCB 1P &gt; 200A"))))))))))))))</f>
        <v>MCB 1P 10A</v>
      </c>
      <c r="D27" s="12" t="str">
        <f>IF(AM27="","NYY 3C x 2.5mm2",IF(AM27&lt;=10,"NYY 3C x 2.5mm2",IF(AM27&lt;=16,"NYY 3C x 2.5mm2",IF(AM27&lt;=20,"NYY 3C x 2.5mm2",IF(AM27&lt;=25,"NYY 3C x 2.5mm2",IF(AM27&lt;=35,"NYY 3C x 6mm2",IF(AM27&lt;=40,"NYY 3C x 6mm2",IF(AM27&lt;=50,"NYY 3C x 10mm2",IF(AM27&lt;=63,"NYY 3C x 16mm2",IF(AM27&lt;=80,"NYY 3C x 25mm2",IF(AM27&lt;=100,"NYY 3C x 25mm2",IF(AM27&lt;=125,"NYY 3C x 35mm2",IF(AM27&lt;=160,"NYY 3C x 50mm2",IF(AM27&lt;=200,"NYY 3C x 70mm2",""))))))))))))))</f>
        <v>NYY 3C x 2.5mm2</v>
      </c>
      <c r="E27" s="13"/>
      <c r="F27" s="13"/>
      <c r="G27" s="13"/>
      <c r="H27" s="13"/>
      <c r="I27" s="13"/>
      <c r="J27" s="13"/>
      <c r="K27" s="13"/>
      <c r="L27" s="13"/>
      <c r="M27" s="13"/>
      <c r="N27" s="13">
        <v>10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4">
        <f>SUMPRODUCT(E27:AH27,E$11:AH$11)</f>
        <v>1500</v>
      </c>
      <c r="AJ27" s="14"/>
      <c r="AK27" s="14"/>
      <c r="AL27" s="12" t="s">
        <v>52</v>
      </c>
      <c r="AM27" s="15">
        <f>SUM(AI27:AK27)/C$7</f>
        <v>6.82</v>
      </c>
      <c r="AN27" s="11" t="str">
        <f>IF(AM27="","",IF(AM27&lt;=10,"10A",IF(AM27&lt;=16,"16A",IF(AM27&lt;=20,"20A",IF(AM27&lt;=25,"25A",IF(AM27&lt;=35,"35A",IF(AM27&lt;=40,"40A",IF(AM27&lt;=50,"50A",IF(AM27&lt;=63,"63A",IF(AM27&lt;=80,"80A",IF(AM27&lt;=100,"100A",IF(AM27&lt;=125,"125A",IF(AM27&lt;=160,"160A",IF(AM27&lt;=200,"200A","&gt; 200A"))))))))))))))</f>
        <v>10A</v>
      </c>
      <c r="AO27" s="16">
        <f>IF(AM27="",14,IF(AM27&lt;=10,14,IF(AM27&lt;=16,14,IF(AM27&lt;=20,14,IF(AM27&lt;=25,14,IF(AM27&lt;=35,17.3,IF(AM27&lt;=40,17.3,IF(AM27&lt;=50,19.4,IF(AM27&lt;=63,22,IF(AM27&lt;=80,25,IF(AM27&lt;=100,25,IF(AM27&lt;=125,27.5,IF(AM27&lt;=160,30,IF(AM27&lt;=200,34,""))))))))))))))</f>
        <v>14</v>
      </c>
    </row>
    <row r="28" spans="1:41" x14ac:dyDescent="0.25">
      <c r="A28" s="11">
        <v>17</v>
      </c>
      <c r="B28" s="12" t="s">
        <v>68</v>
      </c>
      <c r="C28" s="11" t="str">
        <f>IF(AM28="","MCB 1P 10A",IF(AM28&lt;=10,"MCB 1P 10A",IF(AM28&lt;=16,"MCB 1P 16A",IF(AM28&lt;=20,"MCB 1P 20A",IF(AM28&lt;=25,"MCB 1P 25A",IF(AM28&lt;=35,"MCB 1P 35A",IF(AM28&lt;=40,"MCB 1P 40A",IF(AM28&lt;=50,"MCB 1P 50A",IF(AM28&lt;=63,"MCB 1P 63A",IF(AM28&lt;=80,"MCB 1P 80A",IF(AM28&lt;=100,"MCB 1P 100A",IF(AM28&lt;=125,"MCB 1P 125A",IF(AM28&lt;=160,"MCB 1P 160A",IF(AM28&lt;=200,"MCB 1P 200A","MCB 1P &gt; 200A"))))))))))))))</f>
        <v>MCB 1P 10A</v>
      </c>
      <c r="D28" s="12" t="str">
        <f>IF(AM28="","NYY 3C x 2.5mm2",IF(AM28&lt;=10,"NYY 3C x 2.5mm2",IF(AM28&lt;=16,"NYY 3C x 2.5mm2",IF(AM28&lt;=20,"NYY 3C x 2.5mm2",IF(AM28&lt;=25,"NYY 3C x 2.5mm2",IF(AM28&lt;=35,"NYY 3C x 6mm2",IF(AM28&lt;=40,"NYY 3C x 6mm2",IF(AM28&lt;=50,"NYY 3C x 10mm2",IF(AM28&lt;=63,"NYY 3C x 16mm2",IF(AM28&lt;=80,"NYY 3C x 25mm2",IF(AM28&lt;=100,"NYY 3C x 25mm2",IF(AM28&lt;=125,"NYY 3C x 35mm2",IF(AM28&lt;=160,"NYY 3C x 50mm2",IF(AM28&lt;=200,"NYY 3C x 70mm2",""))))))))))))))</f>
        <v>NYY 3C x 2.5mm2</v>
      </c>
      <c r="E28" s="13"/>
      <c r="F28" s="13"/>
      <c r="G28" s="13"/>
      <c r="H28" s="13"/>
      <c r="I28" s="13"/>
      <c r="J28" s="13"/>
      <c r="K28" s="13"/>
      <c r="L28" s="13"/>
      <c r="M28" s="13"/>
      <c r="N28" s="13">
        <v>5</v>
      </c>
      <c r="O28" s="13"/>
      <c r="P28" s="13"/>
      <c r="Q28" s="13"/>
      <c r="R28" s="13">
        <v>1</v>
      </c>
      <c r="S28" s="13">
        <v>1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4"/>
      <c r="AJ28" s="14">
        <f>SUMPRODUCT(E28:AH28,E$11:AH$11)</f>
        <v>830</v>
      </c>
      <c r="AK28" s="14"/>
      <c r="AL28" s="12" t="s">
        <v>52</v>
      </c>
      <c r="AM28" s="15">
        <f>SUM(AI28:AK28)/C$7</f>
        <v>3.77</v>
      </c>
      <c r="AN28" s="11" t="str">
        <f>IF(AM28="","",IF(AM28&lt;=10,"10A",IF(AM28&lt;=16,"16A",IF(AM28&lt;=20,"20A",IF(AM28&lt;=25,"25A",IF(AM28&lt;=35,"35A",IF(AM28&lt;=40,"40A",IF(AM28&lt;=50,"50A",IF(AM28&lt;=63,"63A",IF(AM28&lt;=80,"80A",IF(AM28&lt;=100,"100A",IF(AM28&lt;=125,"125A",IF(AM28&lt;=160,"160A",IF(AM28&lt;=200,"200A","&gt; 200A"))))))))))))))</f>
        <v>10A</v>
      </c>
      <c r="AO28" s="16">
        <f>IF(AM28="",14,IF(AM28&lt;=10,14,IF(AM28&lt;=16,14,IF(AM28&lt;=20,14,IF(AM28&lt;=25,14,IF(AM28&lt;=35,17.3,IF(AM28&lt;=40,17.3,IF(AM28&lt;=50,19.4,IF(AM28&lt;=63,22,IF(AM28&lt;=80,25,IF(AM28&lt;=100,25,IF(AM28&lt;=125,27.5,IF(AM28&lt;=160,30,IF(AM28&lt;=200,34,""))))))))))))))</f>
        <v>14</v>
      </c>
    </row>
    <row r="29" spans="1:41" x14ac:dyDescent="0.25">
      <c r="A29" s="11">
        <v>18</v>
      </c>
      <c r="B29" s="12" t="s">
        <v>69</v>
      </c>
      <c r="C29" s="11" t="str">
        <f>IF(AM29="","MCB 1P 10A",IF(AM29&lt;=10,"MCB 1P 10A",IF(AM29&lt;=16,"MCB 1P 16A",IF(AM29&lt;=20,"MCB 1P 20A",IF(AM29&lt;=25,"MCB 1P 25A",IF(AM29&lt;=35,"MCB 1P 35A",IF(AM29&lt;=40,"MCB 1P 40A",IF(AM29&lt;=50,"MCB 1P 50A",IF(AM29&lt;=63,"MCB 1P 63A",IF(AM29&lt;=80,"MCB 1P 80A",IF(AM29&lt;=100,"MCB 1P 100A",IF(AM29&lt;=125,"MCB 1P 125A",IF(AM29&lt;=160,"MCB 1P 160A",IF(AM29&lt;=200,"MCB 1P 200A","MCB 1P &gt; 200A"))))))))))))))</f>
        <v>MCB 1P 10A</v>
      </c>
      <c r="D29" s="12" t="str">
        <f>IF(AM29="","NYY 3C x 2.5mm2",IF(AM29&lt;=10,"NYY 3C x 2.5mm2",IF(AM29&lt;=16,"NYY 3C x 2.5mm2",IF(AM29&lt;=20,"NYY 3C x 2.5mm2",IF(AM29&lt;=25,"NYY 3C x 2.5mm2",IF(AM29&lt;=35,"NYY 3C x 6mm2",IF(AM29&lt;=40,"NYY 3C x 6mm2",IF(AM29&lt;=50,"NYY 3C x 10mm2",IF(AM29&lt;=63,"NYY 3C x 16mm2",IF(AM29&lt;=80,"NYY 3C x 25mm2",IF(AM29&lt;=100,"NYY 3C x 25mm2",IF(AM29&lt;=125,"NYY 3C x 35mm2",IF(AM29&lt;=160,"NYY 3C x 50mm2",IF(AM29&lt;=200,"NYY 3C x 70mm2",""))))))))))))))</f>
        <v>NYY 3C x 2.5mm2</v>
      </c>
      <c r="E29" s="13"/>
      <c r="F29" s="13"/>
      <c r="G29" s="13"/>
      <c r="H29" s="13"/>
      <c r="I29" s="13"/>
      <c r="J29" s="13"/>
      <c r="K29" s="13"/>
      <c r="L29" s="13"/>
      <c r="M29" s="13"/>
      <c r="N29" s="13">
        <v>6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4"/>
      <c r="AJ29" s="14"/>
      <c r="AK29" s="14">
        <f>SUMPRODUCT(E29:AH29,E$11:AH$11)</f>
        <v>900</v>
      </c>
      <c r="AL29" s="12" t="s">
        <v>52</v>
      </c>
      <c r="AM29" s="15">
        <f>SUM(AI29:AK29)/C$7</f>
        <v>4.09</v>
      </c>
      <c r="AN29" s="11" t="str">
        <f>IF(AM29="","",IF(AM29&lt;=10,"10A",IF(AM29&lt;=16,"16A",IF(AM29&lt;=20,"20A",IF(AM29&lt;=25,"25A",IF(AM29&lt;=35,"35A",IF(AM29&lt;=40,"40A",IF(AM29&lt;=50,"50A",IF(AM29&lt;=63,"63A",IF(AM29&lt;=80,"80A",IF(AM29&lt;=100,"100A",IF(AM29&lt;=125,"125A",IF(AM29&lt;=160,"160A",IF(AM29&lt;=200,"200A","&gt; 200A"))))))))))))))</f>
        <v>10A</v>
      </c>
      <c r="AO29" s="16">
        <f>IF(AM29="",14,IF(AM29&lt;=10,14,IF(AM29&lt;=16,14,IF(AM29&lt;=20,14,IF(AM29&lt;=25,14,IF(AM29&lt;=35,17.3,IF(AM29&lt;=40,17.3,IF(AM29&lt;=50,19.4,IF(AM29&lt;=63,22,IF(AM29&lt;=80,25,IF(AM29&lt;=100,25,IF(AM29&lt;=125,27.5,IF(AM29&lt;=160,30,IF(AM29&lt;=200,34,""))))))))))))))</f>
        <v>14</v>
      </c>
    </row>
    <row r="30" spans="1:41" x14ac:dyDescent="0.25">
      <c r="A30" s="11">
        <v>19</v>
      </c>
      <c r="B30" s="12" t="s">
        <v>70</v>
      </c>
      <c r="C30" s="11" t="str">
        <f>IF(AM30="","MCB 1P 10A",IF(AM30&lt;=10,"MCB 1P 10A",IF(AM30&lt;=16,"MCB 1P 16A",IF(AM30&lt;=20,"MCB 1P 20A",IF(AM30&lt;=25,"MCB 1P 25A",IF(AM30&lt;=35,"MCB 1P 35A",IF(AM30&lt;=40,"MCB 1P 40A",IF(AM30&lt;=50,"MCB 1P 50A",IF(AM30&lt;=63,"MCB 1P 63A",IF(AM30&lt;=80,"MCB 1P 80A",IF(AM30&lt;=100,"MCB 1P 100A",IF(AM30&lt;=125,"MCB 1P 125A",IF(AM30&lt;=160,"MCB 1P 160A",IF(AM30&lt;=200,"MCB 1P 200A","MCB 1P &gt; 200A"))))))))))))))</f>
        <v>MCB 1P 10A</v>
      </c>
      <c r="D30" s="12" t="str">
        <f>IF(AM30="","NYY 3C x 2.5mm2",IF(AM30&lt;=10,"NYY 3C x 2.5mm2",IF(AM30&lt;=16,"NYY 3C x 2.5mm2",IF(AM30&lt;=20,"NYY 3C x 2.5mm2",IF(AM30&lt;=25,"NYY 3C x 2.5mm2",IF(AM30&lt;=35,"NYY 3C x 6mm2",IF(AM30&lt;=40,"NYY 3C x 6mm2",IF(AM30&lt;=50,"NYY 3C x 10mm2",IF(AM30&lt;=63,"NYY 3C x 16mm2",IF(AM30&lt;=80,"NYY 3C x 25mm2",IF(AM30&lt;=100,"NYY 3C x 25mm2",IF(AM30&lt;=125,"NYY 3C x 35mm2",IF(AM30&lt;=160,"NYY 3C x 50mm2",IF(AM30&lt;=200,"NYY 3C x 70mm2",""))))))))))))))</f>
        <v>NYY 3C x 2.5mm2</v>
      </c>
      <c r="E30" s="13"/>
      <c r="F30" s="13"/>
      <c r="G30" s="13"/>
      <c r="H30" s="13"/>
      <c r="I30" s="13"/>
      <c r="J30" s="13"/>
      <c r="K30" s="13"/>
      <c r="L30" s="13"/>
      <c r="M30" s="13"/>
      <c r="N30" s="13">
        <v>6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4">
        <f>SUMPRODUCT(E30:AH30,E$11:AH$11)</f>
        <v>900</v>
      </c>
      <c r="AJ30" s="14"/>
      <c r="AK30" s="14"/>
      <c r="AL30" s="12" t="s">
        <v>52</v>
      </c>
      <c r="AM30" s="15">
        <f>SUM(AI30:AK30)/C$7</f>
        <v>4.09</v>
      </c>
      <c r="AN30" s="11" t="str">
        <f>IF(AM30="","",IF(AM30&lt;=10,"10A",IF(AM30&lt;=16,"16A",IF(AM30&lt;=20,"20A",IF(AM30&lt;=25,"25A",IF(AM30&lt;=35,"35A",IF(AM30&lt;=40,"40A",IF(AM30&lt;=50,"50A",IF(AM30&lt;=63,"63A",IF(AM30&lt;=80,"80A",IF(AM30&lt;=100,"100A",IF(AM30&lt;=125,"125A",IF(AM30&lt;=160,"160A",IF(AM30&lt;=200,"200A","&gt; 200A"))))))))))))))</f>
        <v>10A</v>
      </c>
      <c r="AO30" s="16">
        <f>IF(AM30="",14,IF(AM30&lt;=10,14,IF(AM30&lt;=16,14,IF(AM30&lt;=20,14,IF(AM30&lt;=25,14,IF(AM30&lt;=35,17.3,IF(AM30&lt;=40,17.3,IF(AM30&lt;=50,19.4,IF(AM30&lt;=63,22,IF(AM30&lt;=80,25,IF(AM30&lt;=100,25,IF(AM30&lt;=125,27.5,IF(AM30&lt;=160,30,IF(AM30&lt;=200,34,""))))))))))))))</f>
        <v>14</v>
      </c>
    </row>
    <row r="31" spans="1:41" x14ac:dyDescent="0.25">
      <c r="A31" s="11">
        <v>20</v>
      </c>
      <c r="B31" s="12" t="s">
        <v>71</v>
      </c>
      <c r="C31" s="11" t="str">
        <f>IF(AM31="","MCB 1P 10A",IF(AM31&lt;=10,"MCB 1P 10A",IF(AM31&lt;=16,"MCB 1P 16A",IF(AM31&lt;=20,"MCB 1P 20A",IF(AM31&lt;=25,"MCB 1P 25A",IF(AM31&lt;=35,"MCB 1P 35A",IF(AM31&lt;=40,"MCB 1P 40A",IF(AM31&lt;=50,"MCB 1P 50A",IF(AM31&lt;=63,"MCB 1P 63A",IF(AM31&lt;=80,"MCB 1P 80A",IF(AM31&lt;=100,"MCB 1P 100A",IF(AM31&lt;=125,"MCB 1P 125A",IF(AM31&lt;=160,"MCB 1P 160A",IF(AM31&lt;=200,"MCB 1P 200A","MCB 1P &gt; 200A"))))))))))))))</f>
        <v>MCB 1P 10A</v>
      </c>
      <c r="D31" s="12" t="str">
        <f>IF(AM31="","NYY 3C x 2.5mm2",IF(AM31&lt;=10,"NYY 3C x 2.5mm2",IF(AM31&lt;=16,"NYY 3C x 2.5mm2",IF(AM31&lt;=20,"NYY 3C x 2.5mm2",IF(AM31&lt;=25,"NYY 3C x 2.5mm2",IF(AM31&lt;=35,"NYY 3C x 6mm2",IF(AM31&lt;=40,"NYY 3C x 6mm2",IF(AM31&lt;=50,"NYY 3C x 10mm2",IF(AM31&lt;=63,"NYY 3C x 16mm2",IF(AM31&lt;=80,"NYY 3C x 25mm2",IF(AM31&lt;=100,"NYY 3C x 25mm2",IF(AM31&lt;=125,"NYY 3C x 35mm2",IF(AM31&lt;=160,"NYY 3C x 50mm2",IF(AM31&lt;=200,"NYY 3C x 70mm2",""))))))))))))))</f>
        <v>NYY 3C x 2.5mm2</v>
      </c>
      <c r="E31" s="13"/>
      <c r="F31" s="13"/>
      <c r="G31" s="13"/>
      <c r="H31" s="13"/>
      <c r="I31" s="13"/>
      <c r="J31" s="13"/>
      <c r="K31" s="13"/>
      <c r="L31" s="13"/>
      <c r="M31" s="13"/>
      <c r="N31" s="13">
        <v>2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4"/>
      <c r="AJ31" s="14">
        <f>SUMPRODUCT(E31:AH31,E$11:AH$11)</f>
        <v>300</v>
      </c>
      <c r="AK31" s="14"/>
      <c r="AL31" s="12" t="s">
        <v>52</v>
      </c>
      <c r="AM31" s="15">
        <f>SUM(AI31:AK31)/C$7</f>
        <v>1.36</v>
      </c>
      <c r="AN31" s="11" t="str">
        <f>IF(AM31="","",IF(AM31&lt;=10,"10A",IF(AM31&lt;=16,"16A",IF(AM31&lt;=20,"20A",IF(AM31&lt;=25,"25A",IF(AM31&lt;=35,"35A",IF(AM31&lt;=40,"40A",IF(AM31&lt;=50,"50A",IF(AM31&lt;=63,"63A",IF(AM31&lt;=80,"80A",IF(AM31&lt;=100,"100A",IF(AM31&lt;=125,"125A",IF(AM31&lt;=160,"160A",IF(AM31&lt;=200,"200A","&gt; 200A"))))))))))))))</f>
        <v>10A</v>
      </c>
      <c r="AO31" s="16">
        <f>IF(AM31="",14,IF(AM31&lt;=10,14,IF(AM31&lt;=16,14,IF(AM31&lt;=20,14,IF(AM31&lt;=25,14,IF(AM31&lt;=35,17.3,IF(AM31&lt;=40,17.3,IF(AM31&lt;=50,19.4,IF(AM31&lt;=63,22,IF(AM31&lt;=80,25,IF(AM31&lt;=100,25,IF(AM31&lt;=125,27.5,IF(AM31&lt;=160,30,IF(AM31&lt;=200,34,""))))))))))))))</f>
        <v>14</v>
      </c>
    </row>
    <row r="32" spans="1:41" x14ac:dyDescent="0.25">
      <c r="A32" s="11">
        <v>21</v>
      </c>
      <c r="B32" s="12" t="s">
        <v>72</v>
      </c>
      <c r="C32" s="11" t="str">
        <f>IF(AM32="","MCB 1P 10A",IF(AM32&lt;=10,"MCB 1P 10A",IF(AM32&lt;=16,"MCB 1P 16A",IF(AM32&lt;=20,"MCB 1P 20A",IF(AM32&lt;=25,"MCB 1P 25A",IF(AM32&lt;=35,"MCB 1P 35A",IF(AM32&lt;=40,"MCB 1P 40A",IF(AM32&lt;=50,"MCB 1P 50A",IF(AM32&lt;=63,"MCB 1P 63A",IF(AM32&lt;=80,"MCB 1P 80A",IF(AM32&lt;=100,"MCB 1P 100A",IF(AM32&lt;=125,"MCB 1P 125A",IF(AM32&lt;=160,"MCB 1P 160A",IF(AM32&lt;=200,"MCB 1P 200A","MCB 1P &gt; 200A"))))))))))))))</f>
        <v>MCB 1P 10A</v>
      </c>
      <c r="D32" s="12" t="str">
        <f>IF(AM32="","NYY 3C x 2.5mm2",IF(AM32&lt;=10,"NYY 3C x 2.5mm2",IF(AM32&lt;=16,"NYY 3C x 2.5mm2",IF(AM32&lt;=20,"NYY 3C x 2.5mm2",IF(AM32&lt;=25,"NYY 3C x 2.5mm2",IF(AM32&lt;=35,"NYY 3C x 6mm2",IF(AM32&lt;=40,"NYY 3C x 6mm2",IF(AM32&lt;=50,"NYY 3C x 10mm2",IF(AM32&lt;=63,"NYY 3C x 16mm2",IF(AM32&lt;=80,"NYY 3C x 25mm2",IF(AM32&lt;=100,"NYY 3C x 25mm2",IF(AM32&lt;=125,"NYY 3C x 35mm2",IF(AM32&lt;=160,"NYY 3C x 50mm2",IF(AM32&lt;=200,"NYY 3C x 70mm2",""))))))))))))))</f>
        <v>NYY 3C x 2.5mm2</v>
      </c>
      <c r="E32" s="13">
        <v>3</v>
      </c>
      <c r="F32" s="13">
        <v>2</v>
      </c>
      <c r="G32" s="13">
        <v>7</v>
      </c>
      <c r="H32" s="13">
        <v>2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4"/>
      <c r="AJ32" s="14"/>
      <c r="AK32" s="14">
        <f>SUMPRODUCT(E32:AH32,E$11:AH$11)</f>
        <v>276</v>
      </c>
      <c r="AL32" s="12" t="s">
        <v>52</v>
      </c>
      <c r="AM32" s="15">
        <f>SUM(AI32:AK32)/C$7</f>
        <v>1.25</v>
      </c>
      <c r="AN32" s="11" t="str">
        <f>IF(AM32="","",IF(AM32&lt;=10,"10A",IF(AM32&lt;=16,"16A",IF(AM32&lt;=20,"20A",IF(AM32&lt;=25,"25A",IF(AM32&lt;=35,"35A",IF(AM32&lt;=40,"40A",IF(AM32&lt;=50,"50A",IF(AM32&lt;=63,"63A",IF(AM32&lt;=80,"80A",IF(AM32&lt;=100,"100A",IF(AM32&lt;=125,"125A",IF(AM32&lt;=160,"160A",IF(AM32&lt;=200,"200A","&gt; 200A"))))))))))))))</f>
        <v>10A</v>
      </c>
      <c r="AO32" s="16">
        <f>IF(AM32="",14,IF(AM32&lt;=10,14,IF(AM32&lt;=16,14,IF(AM32&lt;=20,14,IF(AM32&lt;=25,14,IF(AM32&lt;=35,17.3,IF(AM32&lt;=40,17.3,IF(AM32&lt;=50,19.4,IF(AM32&lt;=63,22,IF(AM32&lt;=80,25,IF(AM32&lt;=100,25,IF(AM32&lt;=125,27.5,IF(AM32&lt;=160,30,IF(AM32&lt;=200,34,""))))))))))))))</f>
        <v>14</v>
      </c>
    </row>
    <row r="33" spans="1:41" x14ac:dyDescent="0.25">
      <c r="A33" s="11">
        <v>22</v>
      </c>
      <c r="B33" s="12" t="s">
        <v>73</v>
      </c>
      <c r="C33" s="11" t="str">
        <f>IF(AM33="","MCB 1P 10A",IF(AM33&lt;=10,"MCB 1P 10A",IF(AM33&lt;=16,"MCB 1P 16A",IF(AM33&lt;=20,"MCB 1P 20A",IF(AM33&lt;=25,"MCB 1P 25A",IF(AM33&lt;=35,"MCB 1P 35A",IF(AM33&lt;=40,"MCB 1P 40A",IF(AM33&lt;=50,"MCB 1P 50A",IF(AM33&lt;=63,"MCB 1P 63A",IF(AM33&lt;=80,"MCB 1P 80A",IF(AM33&lt;=100,"MCB 1P 100A",IF(AM33&lt;=125,"MCB 1P 125A",IF(AM33&lt;=160,"MCB 1P 160A",IF(AM33&lt;=200,"MCB 1P 200A","MCB 1P &gt; 200A"))))))))))))))</f>
        <v>MCB 1P 10A</v>
      </c>
      <c r="D33" s="12" t="str">
        <f>IF(AM33="","NYY 3C x 2.5mm2",IF(AM33&lt;=10,"NYY 3C x 2.5mm2",IF(AM33&lt;=16,"NYY 3C x 2.5mm2",IF(AM33&lt;=20,"NYY 3C x 2.5mm2",IF(AM33&lt;=25,"NYY 3C x 2.5mm2",IF(AM33&lt;=35,"NYY 3C x 6mm2",IF(AM33&lt;=40,"NYY 3C x 6mm2",IF(AM33&lt;=50,"NYY 3C x 10mm2",IF(AM33&lt;=63,"NYY 3C x 16mm2",IF(AM33&lt;=80,"NYY 3C x 25mm2",IF(AM33&lt;=100,"NYY 3C x 25mm2",IF(AM33&lt;=125,"NYY 3C x 35mm2",IF(AM33&lt;=160,"NYY 3C x 50mm2",IF(AM33&lt;=200,"NYY 3C x 70mm2",""))))))))))))))</f>
        <v>NYY 3C x 2.5mm2</v>
      </c>
      <c r="E33" s="13">
        <v>7</v>
      </c>
      <c r="F33" s="13">
        <v>2</v>
      </c>
      <c r="G33" s="13">
        <v>2</v>
      </c>
      <c r="H33" s="13">
        <v>1</v>
      </c>
      <c r="I33" s="13">
        <v>1</v>
      </c>
      <c r="J33" s="13">
        <v>2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4">
        <v>216</v>
      </c>
      <c r="AJ33" s="14"/>
      <c r="AK33" s="14"/>
      <c r="AL33" s="12" t="s">
        <v>52</v>
      </c>
      <c r="AM33" s="15">
        <f>SUM(AI33:AK33)/C$7</f>
        <v>0.98</v>
      </c>
      <c r="AN33" s="11" t="str">
        <f>IF(AM33="","",IF(AM33&lt;=10,"10A",IF(AM33&lt;=16,"16A",IF(AM33&lt;=20,"20A",IF(AM33&lt;=25,"25A",IF(AM33&lt;=35,"35A",IF(AM33&lt;=40,"40A",IF(AM33&lt;=50,"50A",IF(AM33&lt;=63,"63A",IF(AM33&lt;=80,"80A",IF(AM33&lt;=100,"100A",IF(AM33&lt;=125,"125A",IF(AM33&lt;=160,"160A",IF(AM33&lt;=200,"200A","&gt; 200A"))))))))))))))</f>
        <v>10A</v>
      </c>
      <c r="AO33" s="16">
        <f>IF(AM33="",14,IF(AM33&lt;=10,14,IF(AM33&lt;=16,14,IF(AM33&lt;=20,14,IF(AM33&lt;=25,14,IF(AM33&lt;=35,17.3,IF(AM33&lt;=40,17.3,IF(AM33&lt;=50,19.4,IF(AM33&lt;=63,22,IF(AM33&lt;=80,25,IF(AM33&lt;=100,25,IF(AM33&lt;=125,27.5,IF(AM33&lt;=160,30,IF(AM33&lt;=200,34,""))))))))))))))</f>
        <v>14</v>
      </c>
    </row>
    <row r="34" spans="1:41" x14ac:dyDescent="0.25">
      <c r="A34" s="11">
        <v>23</v>
      </c>
      <c r="B34" s="12" t="s">
        <v>74</v>
      </c>
      <c r="C34" s="11" t="str">
        <f>IF(AM34="","MCB 1P 10A",IF(AM34&lt;=10,"MCB 1P 10A",IF(AM34&lt;=16,"MCB 1P 16A",IF(AM34&lt;=20,"MCB 1P 20A",IF(AM34&lt;=25,"MCB 1P 25A",IF(AM34&lt;=35,"MCB 1P 35A",IF(AM34&lt;=40,"MCB 1P 40A",IF(AM34&lt;=50,"MCB 1P 50A",IF(AM34&lt;=63,"MCB 1P 63A",IF(AM34&lt;=80,"MCB 1P 80A",IF(AM34&lt;=100,"MCB 1P 100A",IF(AM34&lt;=125,"MCB 1P 125A",IF(AM34&lt;=160,"MCB 1P 160A",IF(AM34&lt;=200,"MCB 1P 200A","MCB 1P &gt; 200A"))))))))))))))</f>
        <v>MCB 1P 10A</v>
      </c>
      <c r="D34" s="12" t="str">
        <f>IF(AM34="","NYY 3C x 2.5mm2",IF(AM34&lt;=10,"NYY 3C x 2.5mm2",IF(AM34&lt;=16,"NYY 3C x 2.5mm2",IF(AM34&lt;=20,"NYY 3C x 2.5mm2",IF(AM34&lt;=25,"NYY 3C x 2.5mm2",IF(AM34&lt;=35,"NYY 3C x 6mm2",IF(AM34&lt;=40,"NYY 3C x 6mm2",IF(AM34&lt;=50,"NYY 3C x 10mm2",IF(AM34&lt;=63,"NYY 3C x 16mm2",IF(AM34&lt;=80,"NYY 3C x 25mm2",IF(AM34&lt;=100,"NYY 3C x 25mm2",IF(AM34&lt;=125,"NYY 3C x 35mm2",IF(AM34&lt;=160,"NYY 3C x 50mm2",IF(AM34&lt;=200,"NYY 3C x 70mm2",""))))))))))))))</f>
        <v>NYY 3C x 2.5mm2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>
        <v>4</v>
      </c>
      <c r="Q34" s="13">
        <v>2</v>
      </c>
      <c r="R34" s="13"/>
      <c r="S34" s="13"/>
      <c r="T34" s="13">
        <v>7</v>
      </c>
      <c r="U34" s="13">
        <v>3</v>
      </c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4"/>
      <c r="AJ34" s="14">
        <f>SUMPRODUCT(E34:AH34,E$11:AH$11)</f>
        <v>508</v>
      </c>
      <c r="AK34" s="14"/>
      <c r="AL34" s="12" t="s">
        <v>52</v>
      </c>
      <c r="AM34" s="15">
        <f>SUM(AI34:AK34)/C$7</f>
        <v>2.31</v>
      </c>
      <c r="AN34" s="11" t="str">
        <f>IF(AM34="","",IF(AM34&lt;=10,"10A",IF(AM34&lt;=16,"16A",IF(AM34&lt;=20,"20A",IF(AM34&lt;=25,"25A",IF(AM34&lt;=35,"35A",IF(AM34&lt;=40,"40A",IF(AM34&lt;=50,"50A",IF(AM34&lt;=63,"63A",IF(AM34&lt;=80,"80A",IF(AM34&lt;=100,"100A",IF(AM34&lt;=125,"125A",IF(AM34&lt;=160,"160A",IF(AM34&lt;=200,"200A","&gt; 200A"))))))))))))))</f>
        <v>10A</v>
      </c>
      <c r="AO34" s="16">
        <f>IF(AM34="",14,IF(AM34&lt;=10,14,IF(AM34&lt;=16,14,IF(AM34&lt;=20,14,IF(AM34&lt;=25,14,IF(AM34&lt;=35,17.3,IF(AM34&lt;=40,17.3,IF(AM34&lt;=50,19.4,IF(AM34&lt;=63,22,IF(AM34&lt;=80,25,IF(AM34&lt;=100,25,IF(AM34&lt;=125,27.5,IF(AM34&lt;=160,30,IF(AM34&lt;=200,34,""))))))))))))))</f>
        <v>14</v>
      </c>
    </row>
    <row r="35" spans="1:41" x14ac:dyDescent="0.25">
      <c r="A35" s="11">
        <v>24</v>
      </c>
      <c r="B35" s="12" t="s">
        <v>75</v>
      </c>
      <c r="C35" s="11" t="str">
        <f>IF(AM35="","MCB 1P 10A",IF(AM35&lt;=10,"MCB 1P 10A",IF(AM35&lt;=16,"MCB 1P 16A",IF(AM35&lt;=20,"MCB 1P 20A",IF(AM35&lt;=25,"MCB 1P 25A",IF(AM35&lt;=35,"MCB 1P 35A",IF(AM35&lt;=40,"MCB 1P 40A",IF(AM35&lt;=50,"MCB 1P 50A",IF(AM35&lt;=63,"MCB 1P 63A",IF(AM35&lt;=80,"MCB 1P 80A",IF(AM35&lt;=100,"MCB 1P 100A",IF(AM35&lt;=125,"MCB 1P 125A",IF(AM35&lt;=160,"MCB 1P 160A",IF(AM35&lt;=200,"MCB 1P 200A","MCB 1P &gt; 200A"))))))))))))))</f>
        <v>MCB 1P 10A</v>
      </c>
      <c r="D35" s="12" t="str">
        <f>IF(AM35="","NYY 3C x 2.5mm2",IF(AM35&lt;=10,"NYY 3C x 2.5mm2",IF(AM35&lt;=16,"NYY 3C x 2.5mm2",IF(AM35&lt;=20,"NYY 3C x 2.5mm2",IF(AM35&lt;=25,"NYY 3C x 2.5mm2",IF(AM35&lt;=35,"NYY 3C x 6mm2",IF(AM35&lt;=40,"NYY 3C x 6mm2",IF(AM35&lt;=50,"NYY 3C x 10mm2",IF(AM35&lt;=63,"NYY 3C x 16mm2",IF(AM35&lt;=80,"NYY 3C x 25mm2",IF(AM35&lt;=100,"NYY 3C x 25mm2",IF(AM35&lt;=125,"NYY 3C x 35mm2",IF(AM35&lt;=160,"NYY 3C x 50mm2",IF(AM35&lt;=200,"NYY 3C x 70mm2",""))))))))))))))</f>
        <v>NYY 3C x 2.5mm2</v>
      </c>
      <c r="E35" s="13"/>
      <c r="F35" s="13"/>
      <c r="G35" s="13">
        <v>2</v>
      </c>
      <c r="H35" s="13">
        <v>1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>
        <v>6</v>
      </c>
      <c r="U35" s="13">
        <v>2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4"/>
      <c r="AJ35" s="14"/>
      <c r="AK35" s="14">
        <f>SUMPRODUCT(E35:AH35,E$11:AH$11)</f>
        <v>392</v>
      </c>
      <c r="AL35" s="12" t="s">
        <v>52</v>
      </c>
      <c r="AM35" s="15">
        <f>SUM(AI35:AK35)/C$7</f>
        <v>1.78</v>
      </c>
      <c r="AN35" s="11" t="str">
        <f>IF(AM35="","",IF(AM35&lt;=10,"10A",IF(AM35&lt;=16,"16A",IF(AM35&lt;=20,"20A",IF(AM35&lt;=25,"25A",IF(AM35&lt;=35,"35A",IF(AM35&lt;=40,"40A",IF(AM35&lt;=50,"50A",IF(AM35&lt;=63,"63A",IF(AM35&lt;=80,"80A",IF(AM35&lt;=100,"100A",IF(AM35&lt;=125,"125A",IF(AM35&lt;=160,"160A",IF(AM35&lt;=200,"200A","&gt; 200A"))))))))))))))</f>
        <v>10A</v>
      </c>
      <c r="AO35" s="16">
        <f>IF(AM35="",14,IF(AM35&lt;=10,14,IF(AM35&lt;=16,14,IF(AM35&lt;=20,14,IF(AM35&lt;=25,14,IF(AM35&lt;=35,17.3,IF(AM35&lt;=40,17.3,IF(AM35&lt;=50,19.4,IF(AM35&lt;=63,22,IF(AM35&lt;=80,25,IF(AM35&lt;=100,25,IF(AM35&lt;=125,27.5,IF(AM35&lt;=160,30,IF(AM35&lt;=200,34,""))))))))))))))</f>
        <v>14</v>
      </c>
    </row>
    <row r="36" spans="1:41" x14ac:dyDescent="0.25">
      <c r="A36" s="11">
        <v>25</v>
      </c>
      <c r="B36" s="12" t="s">
        <v>76</v>
      </c>
      <c r="C36" s="11" t="str">
        <f>IF(AM36="","MCB 1P 10A",IF(AM36&lt;=10,"MCB 1P 10A",IF(AM36&lt;=16,"MCB 1P 16A",IF(AM36&lt;=20,"MCB 1P 20A",IF(AM36&lt;=25,"MCB 1P 25A",IF(AM36&lt;=35,"MCB 1P 35A",IF(AM36&lt;=40,"MCB 1P 40A",IF(AM36&lt;=50,"MCB 1P 50A",IF(AM36&lt;=63,"MCB 1P 63A",IF(AM36&lt;=80,"MCB 1P 80A",IF(AM36&lt;=100,"MCB 1P 100A",IF(AM36&lt;=125,"MCB 1P 125A",IF(AM36&lt;=160,"MCB 1P 160A",IF(AM36&lt;=200,"MCB 1P 200A","MCB 1P &gt; 200A"))))))))))))))</f>
        <v>MCB 1P 10A</v>
      </c>
      <c r="D36" s="12" t="str">
        <f>IF(AM36="","NYY 3C x 2.5mm2",IF(AM36&lt;=10,"NYY 3C x 2.5mm2",IF(AM36&lt;=16,"NYY 3C x 2.5mm2",IF(AM36&lt;=20,"NYY 3C x 2.5mm2",IF(AM36&lt;=25,"NYY 3C x 2.5mm2",IF(AM36&lt;=35,"NYY 3C x 6mm2",IF(AM36&lt;=40,"NYY 3C x 6mm2",IF(AM36&lt;=50,"NYY 3C x 10mm2",IF(AM36&lt;=63,"NYY 3C x 16mm2",IF(AM36&lt;=80,"NYY 3C x 25mm2",IF(AM36&lt;=100,"NYY 3C x 25mm2",IF(AM36&lt;=125,"NYY 3C x 35mm2",IF(AM36&lt;=160,"NYY 3C x 50mm2",IF(AM36&lt;=200,"NYY 3C x 70mm2",""))))))))))))))</f>
        <v>NYY 3C x 2.5mm2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>
        <v>12</v>
      </c>
      <c r="U36" s="13">
        <v>4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4">
        <f>SUMPRODUCT(E36:AH36,E$11:AH$11)</f>
        <v>640</v>
      </c>
      <c r="AJ36" s="14"/>
      <c r="AK36" s="14"/>
      <c r="AL36" s="12" t="s">
        <v>52</v>
      </c>
      <c r="AM36" s="15">
        <f>SUM(AI36:AK36)/C$7</f>
        <v>2.91</v>
      </c>
      <c r="AN36" s="11" t="str">
        <f>IF(AM36="","",IF(AM36&lt;=10,"10A",IF(AM36&lt;=16,"16A",IF(AM36&lt;=20,"20A",IF(AM36&lt;=25,"25A",IF(AM36&lt;=35,"35A",IF(AM36&lt;=40,"40A",IF(AM36&lt;=50,"50A",IF(AM36&lt;=63,"63A",IF(AM36&lt;=80,"80A",IF(AM36&lt;=100,"100A",IF(AM36&lt;=125,"125A",IF(AM36&lt;=160,"160A",IF(AM36&lt;=200,"200A","&gt; 200A"))))))))))))))</f>
        <v>10A</v>
      </c>
      <c r="AO36" s="16">
        <f>IF(AM36="",14,IF(AM36&lt;=10,14,IF(AM36&lt;=16,14,IF(AM36&lt;=20,14,IF(AM36&lt;=25,14,IF(AM36&lt;=35,17.3,IF(AM36&lt;=40,17.3,IF(AM36&lt;=50,19.4,IF(AM36&lt;=63,22,IF(AM36&lt;=80,25,IF(AM36&lt;=100,25,IF(AM36&lt;=125,27.5,IF(AM36&lt;=160,30,IF(AM36&lt;=200,34,""))))))))))))))</f>
        <v>14</v>
      </c>
    </row>
    <row r="37" spans="1:41" x14ac:dyDescent="0.25">
      <c r="A37" s="11">
        <v>26</v>
      </c>
      <c r="B37" s="12" t="s">
        <v>77</v>
      </c>
      <c r="C37" s="11" t="str">
        <f>IF(AM37="","MCB 1P 10A",IF(AM37&lt;=10,"MCB 1P 10A",IF(AM37&lt;=16,"MCB 1P 16A",IF(AM37&lt;=20,"MCB 1P 20A",IF(AM37&lt;=25,"MCB 1P 25A",IF(AM37&lt;=35,"MCB 1P 35A",IF(AM37&lt;=40,"MCB 1P 40A",IF(AM37&lt;=50,"MCB 1P 50A",IF(AM37&lt;=63,"MCB 1P 63A",IF(AM37&lt;=80,"MCB 1P 80A",IF(AM37&lt;=100,"MCB 1P 100A",IF(AM37&lt;=125,"MCB 1P 125A",IF(AM37&lt;=160,"MCB 1P 160A",IF(AM37&lt;=200,"MCB 1P 200A","MCB 1P &gt; 200A"))))))))))))))</f>
        <v>MCB 1P 10A</v>
      </c>
      <c r="D37" s="12" t="str">
        <f>IF(AM37="","NYY 3C x 2.5mm2",IF(AM37&lt;=10,"NYY 3C x 2.5mm2",IF(AM37&lt;=16,"NYY 3C x 2.5mm2",IF(AM37&lt;=20,"NYY 3C x 2.5mm2",IF(AM37&lt;=25,"NYY 3C x 2.5mm2",IF(AM37&lt;=35,"NYY 3C x 6mm2",IF(AM37&lt;=40,"NYY 3C x 6mm2",IF(AM37&lt;=50,"NYY 3C x 10mm2",IF(AM37&lt;=63,"NYY 3C x 16mm2",IF(AM37&lt;=80,"NYY 3C x 25mm2",IF(AM37&lt;=100,"NYY 3C x 25mm2",IF(AM37&lt;=125,"NYY 3C x 35mm2",IF(AM37&lt;=160,"NYY 3C x 50mm2",IF(AM37&lt;=200,"NYY 3C x 70mm2",""))))))))))))))</f>
        <v>NYY 3C x 2.5mm2</v>
      </c>
      <c r="E37" s="13">
        <v>4</v>
      </c>
      <c r="F37" s="13">
        <v>2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>
        <v>4</v>
      </c>
      <c r="U37" s="13">
        <v>2</v>
      </c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4"/>
      <c r="AJ37" s="14">
        <f>SUMPRODUCT(E37:AH37,E$11:AH$11)</f>
        <v>312</v>
      </c>
      <c r="AK37" s="14"/>
      <c r="AL37" s="12" t="s">
        <v>52</v>
      </c>
      <c r="AM37" s="15">
        <f>SUM(AI37:AK37)/C$7</f>
        <v>1.42</v>
      </c>
      <c r="AN37" s="11" t="str">
        <f>IF(AM37="","",IF(AM37&lt;=10,"10A",IF(AM37&lt;=16,"16A",IF(AM37&lt;=20,"20A",IF(AM37&lt;=25,"25A",IF(AM37&lt;=35,"35A",IF(AM37&lt;=40,"40A",IF(AM37&lt;=50,"50A",IF(AM37&lt;=63,"63A",IF(AM37&lt;=80,"80A",IF(AM37&lt;=100,"100A",IF(AM37&lt;=125,"125A",IF(AM37&lt;=160,"160A",IF(AM37&lt;=200,"200A","&gt; 200A"))))))))))))))</f>
        <v>10A</v>
      </c>
      <c r="AO37" s="16">
        <f>IF(AM37="",14,IF(AM37&lt;=10,14,IF(AM37&lt;=16,14,IF(AM37&lt;=20,14,IF(AM37&lt;=25,14,IF(AM37&lt;=35,17.3,IF(AM37&lt;=40,17.3,IF(AM37&lt;=50,19.4,IF(AM37&lt;=63,22,IF(AM37&lt;=80,25,IF(AM37&lt;=100,25,IF(AM37&lt;=125,27.5,IF(AM37&lt;=160,30,IF(AM37&lt;=200,34,""))))))))))))))</f>
        <v>14</v>
      </c>
    </row>
    <row r="38" spans="1:41" x14ac:dyDescent="0.25">
      <c r="A38" s="11">
        <v>27</v>
      </c>
      <c r="B38" s="12" t="s">
        <v>78</v>
      </c>
      <c r="C38" s="11" t="str">
        <f>IF(AM38="","MCB 1P 10A",IF(AM38&lt;=10,"MCB 1P 10A",IF(AM38&lt;=16,"MCB 1P 16A",IF(AM38&lt;=20,"MCB 1P 20A",IF(AM38&lt;=25,"MCB 1P 25A",IF(AM38&lt;=35,"MCB 1P 35A",IF(AM38&lt;=40,"MCB 1P 40A",IF(AM38&lt;=50,"MCB 1P 50A",IF(AM38&lt;=63,"MCB 1P 63A",IF(AM38&lt;=80,"MCB 1P 80A",IF(AM38&lt;=100,"MCB 1P 100A",IF(AM38&lt;=125,"MCB 1P 125A",IF(AM38&lt;=160,"MCB 1P 160A",IF(AM38&lt;=200,"MCB 1P 200A","MCB 1P &gt; 200A"))))))))))))))</f>
        <v>MCB 1P 10A</v>
      </c>
      <c r="D38" s="12" t="str">
        <f>IF(AM38="","NYY 3C x 2.5mm2",IF(AM38&lt;=10,"NYY 3C x 2.5mm2",IF(AM38&lt;=16,"NYY 3C x 2.5mm2",IF(AM38&lt;=20,"NYY 3C x 2.5mm2",IF(AM38&lt;=25,"NYY 3C x 2.5mm2",IF(AM38&lt;=35,"NYY 3C x 6mm2",IF(AM38&lt;=40,"NYY 3C x 6mm2",IF(AM38&lt;=50,"NYY 3C x 10mm2",IF(AM38&lt;=63,"NYY 3C x 16mm2",IF(AM38&lt;=80,"NYY 3C x 25mm2",IF(AM38&lt;=100,"NYY 3C x 25mm2",IF(AM38&lt;=125,"NYY 3C x 35mm2",IF(AM38&lt;=160,"NYY 3C x 50mm2",IF(AM38&lt;=200,"NYY 3C x 70mm2",""))))))))))))))</f>
        <v>NYY 3C x 2.5mm2</v>
      </c>
      <c r="E38" s="13"/>
      <c r="F38" s="13"/>
      <c r="G38" s="13"/>
      <c r="H38" s="13"/>
      <c r="I38" s="13"/>
      <c r="J38" s="13"/>
      <c r="K38" s="13"/>
      <c r="L38" s="13"/>
      <c r="M38" s="13"/>
      <c r="N38" s="13">
        <v>9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4"/>
      <c r="AJ38" s="14"/>
      <c r="AK38" s="14">
        <f>SUMPRODUCT(E38:AH38,E$11:AH$11)</f>
        <v>1350</v>
      </c>
      <c r="AL38" s="12" t="s">
        <v>52</v>
      </c>
      <c r="AM38" s="15">
        <f>SUM(AI38:AK38)/C$7</f>
        <v>6.14</v>
      </c>
      <c r="AN38" s="11" t="str">
        <f>IF(AM38="","",IF(AM38&lt;=10,"10A",IF(AM38&lt;=16,"16A",IF(AM38&lt;=20,"20A",IF(AM38&lt;=25,"25A",IF(AM38&lt;=35,"35A",IF(AM38&lt;=40,"40A",IF(AM38&lt;=50,"50A",IF(AM38&lt;=63,"63A",IF(AM38&lt;=80,"80A",IF(AM38&lt;=100,"100A",IF(AM38&lt;=125,"125A",IF(AM38&lt;=160,"160A",IF(AM38&lt;=200,"200A","&gt; 200A"))))))))))))))</f>
        <v>10A</v>
      </c>
      <c r="AO38" s="16">
        <f>IF(AM38="",14,IF(AM38&lt;=10,14,IF(AM38&lt;=16,14,IF(AM38&lt;=20,14,IF(AM38&lt;=25,14,IF(AM38&lt;=35,17.3,IF(AM38&lt;=40,17.3,IF(AM38&lt;=50,19.4,IF(AM38&lt;=63,22,IF(AM38&lt;=80,25,IF(AM38&lt;=100,25,IF(AM38&lt;=125,27.5,IF(AM38&lt;=160,30,IF(AM38&lt;=200,34,""))))))))))))))</f>
        <v>14</v>
      </c>
    </row>
    <row r="39" spans="1:41" x14ac:dyDescent="0.25">
      <c r="A39" s="11">
        <v>28</v>
      </c>
      <c r="B39" s="12" t="s">
        <v>79</v>
      </c>
      <c r="C39" s="11" t="str">
        <f>IF(AM39="","MCB 1P 10A",IF(AM39&lt;=10,"MCB 1P 10A",IF(AM39&lt;=16,"MCB 1P 16A",IF(AM39&lt;=20,"MCB 1P 20A",IF(AM39&lt;=25,"MCB 1P 25A",IF(AM39&lt;=35,"MCB 1P 35A",IF(AM39&lt;=40,"MCB 1P 40A",IF(AM39&lt;=50,"MCB 1P 50A",IF(AM39&lt;=63,"MCB 1P 63A",IF(AM39&lt;=80,"MCB 1P 80A",IF(AM39&lt;=100,"MCB 1P 100A",IF(AM39&lt;=125,"MCB 1P 125A",IF(AM39&lt;=160,"MCB 1P 160A",IF(AM39&lt;=200,"MCB 1P 200A","MCB 1P &gt; 200A"))))))))))))))</f>
        <v>MCB 1P 10A</v>
      </c>
      <c r="D39" s="12" t="str">
        <f>IF(AM39="","NYY 3C x 2.5mm2",IF(AM39&lt;=10,"NYY 3C x 2.5mm2",IF(AM39&lt;=16,"NYY 3C x 2.5mm2",IF(AM39&lt;=20,"NYY 3C x 2.5mm2",IF(AM39&lt;=25,"NYY 3C x 2.5mm2",IF(AM39&lt;=35,"NYY 3C x 6mm2",IF(AM39&lt;=40,"NYY 3C x 6mm2",IF(AM39&lt;=50,"NYY 3C x 10mm2",IF(AM39&lt;=63,"NYY 3C x 16mm2",IF(AM39&lt;=80,"NYY 3C x 25mm2",IF(AM39&lt;=100,"NYY 3C x 25mm2",IF(AM39&lt;=125,"NYY 3C x 35mm2",IF(AM39&lt;=160,"NYY 3C x 50mm2",IF(AM39&lt;=200,"NYY 3C x 70mm2",""))))))))))))))</f>
        <v>NYY 3C x 2.5mm2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>
        <v>22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4">
        <f>SUMPRODUCT(E39:AH39,E$11:AH$11)</f>
        <v>132</v>
      </c>
      <c r="AJ39" s="14"/>
      <c r="AK39" s="14"/>
      <c r="AL39" s="12" t="s">
        <v>52</v>
      </c>
      <c r="AM39" s="15">
        <f>SUM(AI39:AK39)/C$7</f>
        <v>0.6</v>
      </c>
      <c r="AN39" s="11" t="str">
        <f>IF(AM39="","",IF(AM39&lt;=10,"10A",IF(AM39&lt;=16,"16A",IF(AM39&lt;=20,"20A",IF(AM39&lt;=25,"25A",IF(AM39&lt;=35,"35A",IF(AM39&lt;=40,"40A",IF(AM39&lt;=50,"50A",IF(AM39&lt;=63,"63A",IF(AM39&lt;=80,"80A",IF(AM39&lt;=100,"100A",IF(AM39&lt;=125,"125A",IF(AM39&lt;=160,"160A",IF(AM39&lt;=200,"200A","&gt; 200A"))))))))))))))</f>
        <v>10A</v>
      </c>
      <c r="AO39" s="16">
        <f>IF(AM39="",14,IF(AM39&lt;=10,14,IF(AM39&lt;=16,14,IF(AM39&lt;=20,14,IF(AM39&lt;=25,14,IF(AM39&lt;=35,17.3,IF(AM39&lt;=40,17.3,IF(AM39&lt;=50,19.4,IF(AM39&lt;=63,22,IF(AM39&lt;=80,25,IF(AM39&lt;=100,25,IF(AM39&lt;=125,27.5,IF(AM39&lt;=160,30,IF(AM39&lt;=200,34,""))))))))))))))</f>
        <v>14</v>
      </c>
    </row>
    <row r="40" spans="1:41" x14ac:dyDescent="0.25">
      <c r="A40" s="11">
        <v>29</v>
      </c>
      <c r="B40" s="12" t="s">
        <v>80</v>
      </c>
      <c r="C40" s="11" t="str">
        <f>IF(AM40="","MCB 1P 10A",IF(AM40&lt;=10,"MCB 1P 10A",IF(AM40&lt;=16,"MCB 1P 16A",IF(AM40&lt;=20,"MCB 1P 20A",IF(AM40&lt;=25,"MCB 1P 25A",IF(AM40&lt;=35,"MCB 1P 35A",IF(AM40&lt;=40,"MCB 1P 40A",IF(AM40&lt;=50,"MCB 1P 50A",IF(AM40&lt;=63,"MCB 1P 63A",IF(AM40&lt;=80,"MCB 1P 80A",IF(AM40&lt;=100,"MCB 1P 100A",IF(AM40&lt;=125,"MCB 1P 125A",IF(AM40&lt;=160,"MCB 1P 160A",IF(AM40&lt;=200,"MCB 1P 200A","MCB 1P &gt; 200A"))))))))))))))</f>
        <v>MCB 1P 10A</v>
      </c>
      <c r="D40" s="12" t="str">
        <f>IF(AM40="","NYY 3C x 2.5mm2",IF(AM40&lt;=10,"NYY 3C x 2.5mm2",IF(AM40&lt;=16,"NYY 3C x 2.5mm2",IF(AM40&lt;=20,"NYY 3C x 2.5mm2",IF(AM40&lt;=25,"NYY 3C x 2.5mm2",IF(AM40&lt;=35,"NYY 3C x 6mm2",IF(AM40&lt;=40,"NYY 3C x 6mm2",IF(AM40&lt;=50,"NYY 3C x 10mm2",IF(AM40&lt;=63,"NYY 3C x 16mm2",IF(AM40&lt;=80,"NYY 3C x 25mm2",IF(AM40&lt;=100,"NYY 3C x 25mm2",IF(AM40&lt;=125,"NYY 3C x 35mm2",IF(AM40&lt;=160,"NYY 3C x 50mm2",IF(AM40&lt;=200,"NYY 3C x 70mm2",""))))))))))))))</f>
        <v>NYY 3C x 2.5mm2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v>12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4"/>
      <c r="AJ40" s="14">
        <f>SUMPRODUCT(E40:AH40,E$11:AH$11)</f>
        <v>72</v>
      </c>
      <c r="AK40" s="14"/>
      <c r="AL40" s="12" t="s">
        <v>52</v>
      </c>
      <c r="AM40" s="15">
        <f>SUM(AI40:AK40)/C$7</f>
        <v>0.33</v>
      </c>
      <c r="AN40" s="11" t="str">
        <f>IF(AM40="","",IF(AM40&lt;=10,"10A",IF(AM40&lt;=16,"16A",IF(AM40&lt;=20,"20A",IF(AM40&lt;=25,"25A",IF(AM40&lt;=35,"35A",IF(AM40&lt;=40,"40A",IF(AM40&lt;=50,"50A",IF(AM40&lt;=63,"63A",IF(AM40&lt;=80,"80A",IF(AM40&lt;=100,"100A",IF(AM40&lt;=125,"125A",IF(AM40&lt;=160,"160A",IF(AM40&lt;=200,"200A","&gt; 200A"))))))))))))))</f>
        <v>10A</v>
      </c>
      <c r="AO40" s="16">
        <f>IF(AM40="",14,IF(AM40&lt;=10,14,IF(AM40&lt;=16,14,IF(AM40&lt;=20,14,IF(AM40&lt;=25,14,IF(AM40&lt;=35,17.3,IF(AM40&lt;=40,17.3,IF(AM40&lt;=50,19.4,IF(AM40&lt;=63,22,IF(AM40&lt;=80,25,IF(AM40&lt;=100,25,IF(AM40&lt;=125,27.5,IF(AM40&lt;=160,30,IF(AM40&lt;=200,34,""))))))))))))))</f>
        <v>14</v>
      </c>
    </row>
    <row r="41" spans="1:41" x14ac:dyDescent="0.25">
      <c r="A41" s="11">
        <v>30</v>
      </c>
      <c r="B41" s="12" t="s">
        <v>81</v>
      </c>
      <c r="C41" s="11" t="str">
        <f>IF(AM41="","MCB 1P 10A",IF(AM41&lt;=10,"MCB 1P 10A",IF(AM41&lt;=16,"MCB 1P 16A",IF(AM41&lt;=20,"MCB 1P 20A",IF(AM41&lt;=25,"MCB 1P 25A",IF(AM41&lt;=35,"MCB 1P 35A",IF(AM41&lt;=40,"MCB 1P 40A",IF(AM41&lt;=50,"MCB 1P 50A",IF(AM41&lt;=63,"MCB 1P 63A",IF(AM41&lt;=80,"MCB 1P 80A",IF(AM41&lt;=100,"MCB 1P 100A",IF(AM41&lt;=125,"MCB 1P 125A",IF(AM41&lt;=160,"MCB 1P 160A",IF(AM41&lt;=200,"MCB 1P 200A","MCB 1P &gt; 200A"))))))))))))))</f>
        <v>MCB 1P 10A</v>
      </c>
      <c r="D41" s="12" t="str">
        <f>IF(AM41="","NYY 3C x 2.5mm2",IF(AM41&lt;=10,"NYY 3C x 2.5mm2",IF(AM41&lt;=16,"NYY 3C x 2.5mm2",IF(AM41&lt;=20,"NYY 3C x 2.5mm2",IF(AM41&lt;=25,"NYY 3C x 2.5mm2",IF(AM41&lt;=35,"NYY 3C x 6mm2",IF(AM41&lt;=40,"NYY 3C x 6mm2",IF(AM41&lt;=50,"NYY 3C x 10mm2",IF(AM41&lt;=63,"NYY 3C x 16mm2",IF(AM41&lt;=80,"NYY 3C x 25mm2",IF(AM41&lt;=100,"NYY 3C x 25mm2",IF(AM41&lt;=125,"NYY 3C x 35mm2",IF(AM41&lt;=160,"NYY 3C x 50mm2",IF(AM41&lt;=200,"NYY 3C x 70mm2",""))))))))))))))</f>
        <v>NYY 3C x 2.5mm2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>
        <v>13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4"/>
      <c r="AJ41" s="14"/>
      <c r="AK41" s="14">
        <f>SUMPRODUCT(E41:AH41,E$11:AH$11)</f>
        <v>78</v>
      </c>
      <c r="AL41" s="12" t="s">
        <v>52</v>
      </c>
      <c r="AM41" s="15">
        <f>SUM(AI41:AK41)/C$7</f>
        <v>0.35</v>
      </c>
      <c r="AN41" s="11" t="str">
        <f>IF(AM41="","",IF(AM41&lt;=10,"10A",IF(AM41&lt;=16,"16A",IF(AM41&lt;=20,"20A",IF(AM41&lt;=25,"25A",IF(AM41&lt;=35,"35A",IF(AM41&lt;=40,"40A",IF(AM41&lt;=50,"50A",IF(AM41&lt;=63,"63A",IF(AM41&lt;=80,"80A",IF(AM41&lt;=100,"100A",IF(AM41&lt;=125,"125A",IF(AM41&lt;=160,"160A",IF(AM41&lt;=200,"200A","&gt; 200A"))))))))))))))</f>
        <v>10A</v>
      </c>
      <c r="AO41" s="16">
        <f>IF(AM41="",14,IF(AM41&lt;=10,14,IF(AM41&lt;=16,14,IF(AM41&lt;=20,14,IF(AM41&lt;=25,14,IF(AM41&lt;=35,17.3,IF(AM41&lt;=40,17.3,IF(AM41&lt;=50,19.4,IF(AM41&lt;=63,22,IF(AM41&lt;=80,25,IF(AM41&lt;=100,25,IF(AM41&lt;=125,27.5,IF(AM41&lt;=160,30,IF(AM41&lt;=200,34,""))))))))))))))</f>
        <v>14</v>
      </c>
    </row>
    <row r="42" spans="1:41" x14ac:dyDescent="0.25">
      <c r="A42" s="11">
        <v>31</v>
      </c>
      <c r="B42" s="12" t="s">
        <v>82</v>
      </c>
      <c r="C42" s="11" t="str">
        <f>IF(AM42="","MCB 1P 10A",IF(AM42&lt;=10,"MCB 1P 10A",IF(AM42&lt;=16,"MCB 1P 16A",IF(AM42&lt;=20,"MCB 1P 20A",IF(AM42&lt;=25,"MCB 1P 25A",IF(AM42&lt;=35,"MCB 1P 35A",IF(AM42&lt;=40,"MCB 1P 40A",IF(AM42&lt;=50,"MCB 1P 50A",IF(AM42&lt;=63,"MCB 1P 63A",IF(AM42&lt;=80,"MCB 1P 80A",IF(AM42&lt;=100,"MCB 1P 100A",IF(AM42&lt;=125,"MCB 1P 125A",IF(AM42&lt;=160,"MCB 1P 160A",IF(AM42&lt;=200,"MCB 1P 200A","MCB 1P &gt; 200A"))))))))))))))</f>
        <v>MCB 1P 10A</v>
      </c>
      <c r="D42" s="12" t="str">
        <f>IF(AM42="","NYY 3C x 2.5mm2",IF(AM42&lt;=10,"NYY 3C x 2.5mm2",IF(AM42&lt;=16,"NYY 3C x 2.5mm2",IF(AM42&lt;=20,"NYY 3C x 2.5mm2",IF(AM42&lt;=25,"NYY 3C x 2.5mm2",IF(AM42&lt;=35,"NYY 3C x 6mm2",IF(AM42&lt;=40,"NYY 3C x 6mm2",IF(AM42&lt;=50,"NYY 3C x 10mm2",IF(AM42&lt;=63,"NYY 3C x 16mm2",IF(AM42&lt;=80,"NYY 3C x 25mm2",IF(AM42&lt;=100,"NYY 3C x 25mm2",IF(AM42&lt;=125,"NYY 3C x 35mm2",IF(AM42&lt;=160,"NYY 3C x 50mm2",IF(AM42&lt;=200,"NYY 3C x 70mm2",""))))))))))))))</f>
        <v>NYY 3C x 2.5mm2</v>
      </c>
      <c r="E42" s="13"/>
      <c r="F42" s="13"/>
      <c r="G42" s="13"/>
      <c r="H42" s="13"/>
      <c r="I42" s="13"/>
      <c r="J42" s="13"/>
      <c r="K42" s="13">
        <v>9</v>
      </c>
      <c r="L42" s="13"/>
      <c r="M42" s="13">
        <v>3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>
        <f>SUMPRODUCT(E42:AH42,E$11:AH$11)</f>
        <v>60</v>
      </c>
      <c r="AJ42" s="14"/>
      <c r="AK42" s="14"/>
      <c r="AL42" s="12" t="s">
        <v>52</v>
      </c>
      <c r="AM42" s="15">
        <f>SUM(AI42:AK42)/C$7</f>
        <v>0.27</v>
      </c>
      <c r="AN42" s="11" t="str">
        <f>IF(AM42="","",IF(AM42&lt;=10,"10A",IF(AM42&lt;=16,"16A",IF(AM42&lt;=20,"20A",IF(AM42&lt;=25,"25A",IF(AM42&lt;=35,"35A",IF(AM42&lt;=40,"40A",IF(AM42&lt;=50,"50A",IF(AM42&lt;=63,"63A",IF(AM42&lt;=80,"80A",IF(AM42&lt;=100,"100A",IF(AM42&lt;=125,"125A",IF(AM42&lt;=160,"160A",IF(AM42&lt;=200,"200A","&gt; 200A"))))))))))))))</f>
        <v>10A</v>
      </c>
      <c r="AO42" s="16">
        <f>IF(AM42="",14,IF(AM42&lt;=10,14,IF(AM42&lt;=16,14,IF(AM42&lt;=20,14,IF(AM42&lt;=25,14,IF(AM42&lt;=35,17.3,IF(AM42&lt;=40,17.3,IF(AM42&lt;=50,19.4,IF(AM42&lt;=63,22,IF(AM42&lt;=80,25,IF(AM42&lt;=100,25,IF(AM42&lt;=125,27.5,IF(AM42&lt;=160,30,IF(AM42&lt;=200,34,""))))))))))))))</f>
        <v>14</v>
      </c>
    </row>
    <row r="43" spans="1:41" x14ac:dyDescent="0.25">
      <c r="A43" s="11">
        <v>32</v>
      </c>
      <c r="B43" s="12" t="s">
        <v>83</v>
      </c>
      <c r="C43" s="11" t="str">
        <f>IF(AM43="","MCB 1P 10A",IF(AM43&lt;=10,"MCB 1P 10A",IF(AM43&lt;=16,"MCB 1P 16A",IF(AM43&lt;=20,"MCB 1P 20A",IF(AM43&lt;=25,"MCB 1P 25A",IF(AM43&lt;=35,"MCB 1P 35A",IF(AM43&lt;=40,"MCB 1P 40A",IF(AM43&lt;=50,"MCB 1P 50A",IF(AM43&lt;=63,"MCB 1P 63A",IF(AM43&lt;=80,"MCB 1P 80A",IF(AM43&lt;=100,"MCB 1P 100A",IF(AM43&lt;=125,"MCB 1P 125A",IF(AM43&lt;=160,"MCB 1P 160A",IF(AM43&lt;=200,"MCB 1P 200A","MCB 1P &gt; 200A"))))))))))))))</f>
        <v>MCB 1P 10A</v>
      </c>
      <c r="D43" s="12" t="str">
        <f>IF(AM43="","NYY 3C x 2.5mm2",IF(AM43&lt;=10,"NYY 3C x 2.5mm2",IF(AM43&lt;=16,"NYY 3C x 2.5mm2",IF(AM43&lt;=20,"NYY 3C x 2.5mm2",IF(AM43&lt;=25,"NYY 3C x 2.5mm2",IF(AM43&lt;=35,"NYY 3C x 6mm2",IF(AM43&lt;=40,"NYY 3C x 6mm2",IF(AM43&lt;=50,"NYY 3C x 10mm2",IF(AM43&lt;=63,"NYY 3C x 16mm2",IF(AM43&lt;=80,"NYY 3C x 25mm2",IF(AM43&lt;=100,"NYY 3C x 25mm2",IF(AM43&lt;=125,"NYY 3C x 35mm2",IF(AM43&lt;=160,"NYY 3C x 50mm2",IF(AM43&lt;=200,"NYY 3C x 70mm2",""))))))))))))))</f>
        <v>NYY 3C x 2.5mm2</v>
      </c>
      <c r="E43" s="13"/>
      <c r="F43" s="13"/>
      <c r="G43" s="13"/>
      <c r="H43" s="13"/>
      <c r="I43" s="13"/>
      <c r="J43" s="13"/>
      <c r="K43" s="13">
        <v>1</v>
      </c>
      <c r="L43" s="13">
        <v>1</v>
      </c>
      <c r="M43" s="13">
        <v>9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4"/>
      <c r="AJ43" s="14">
        <f>SUMPRODUCT(E43:AH43,E$11:AH$11)</f>
        <v>55</v>
      </c>
      <c r="AK43" s="14"/>
      <c r="AL43" s="12" t="s">
        <v>52</v>
      </c>
      <c r="AM43" s="15">
        <f>SUM(AI43:AK43)/C$7</f>
        <v>0.25</v>
      </c>
      <c r="AN43" s="11" t="str">
        <f>IF(AM43="","",IF(AM43&lt;=10,"10A",IF(AM43&lt;=16,"16A",IF(AM43&lt;=20,"20A",IF(AM43&lt;=25,"25A",IF(AM43&lt;=35,"35A",IF(AM43&lt;=40,"40A",IF(AM43&lt;=50,"50A",IF(AM43&lt;=63,"63A",IF(AM43&lt;=80,"80A",IF(AM43&lt;=100,"100A",IF(AM43&lt;=125,"125A",IF(AM43&lt;=160,"160A",IF(AM43&lt;=200,"200A","&gt; 200A"))))))))))))))</f>
        <v>10A</v>
      </c>
      <c r="AO43" s="16">
        <f>IF(AM43="",14,IF(AM43&lt;=10,14,IF(AM43&lt;=16,14,IF(AM43&lt;=20,14,IF(AM43&lt;=25,14,IF(AM43&lt;=35,17.3,IF(AM43&lt;=40,17.3,IF(AM43&lt;=50,19.4,IF(AM43&lt;=63,22,IF(AM43&lt;=80,25,IF(AM43&lt;=100,25,IF(AM43&lt;=125,27.5,IF(AM43&lt;=160,30,IF(AM43&lt;=200,34,""))))))))))))))</f>
        <v>14</v>
      </c>
    </row>
    <row r="44" spans="1:41" x14ac:dyDescent="0.25">
      <c r="A44" s="11">
        <v>33</v>
      </c>
      <c r="B44" s="12" t="s">
        <v>84</v>
      </c>
      <c r="C44" s="11" t="str">
        <f>IF(AM44="","MCB 1P 10A",IF(AM44&lt;=10,"MCB 1P 10A",IF(AM44&lt;=16,"MCB 1P 16A",IF(AM44&lt;=20,"MCB 1P 20A",IF(AM44&lt;=25,"MCB 1P 25A",IF(AM44&lt;=35,"MCB 1P 35A",IF(AM44&lt;=40,"MCB 1P 40A",IF(AM44&lt;=50,"MCB 1P 50A",IF(AM44&lt;=63,"MCB 1P 63A",IF(AM44&lt;=80,"MCB 1P 80A",IF(AM44&lt;=100,"MCB 1P 100A",IF(AM44&lt;=125,"MCB 1P 125A",IF(AM44&lt;=160,"MCB 1P 160A",IF(AM44&lt;=200,"MCB 1P 200A","MCB 1P &gt; 200A"))))))))))))))</f>
        <v>MCB 1P 10A</v>
      </c>
      <c r="D44" s="12" t="str">
        <f>IF(AM44="","NYY 3C x 2.5mm2",IF(AM44&lt;=10,"NYY 3C x 2.5mm2",IF(AM44&lt;=16,"NYY 3C x 2.5mm2",IF(AM44&lt;=20,"NYY 3C x 2.5mm2",IF(AM44&lt;=25,"NYY 3C x 2.5mm2",IF(AM44&lt;=35,"NYY 3C x 6mm2",IF(AM44&lt;=40,"NYY 3C x 6mm2",IF(AM44&lt;=50,"NYY 3C x 10mm2",IF(AM44&lt;=63,"NYY 3C x 16mm2",IF(AM44&lt;=80,"NYY 3C x 25mm2",IF(AM44&lt;=100,"NYY 3C x 25mm2",IF(AM44&lt;=125,"NYY 3C x 35mm2",IF(AM44&lt;=160,"NYY 3C x 50mm2",IF(AM44&lt;=200,"NYY 3C x 70mm2",""))))))))))))))</f>
        <v>NYY 3C x 2.5mm2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>
        <v>13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4"/>
      <c r="AJ44" s="14"/>
      <c r="AK44" s="14">
        <f>SUMPRODUCT(E44:AH44,E$11:AH$11)</f>
        <v>390</v>
      </c>
      <c r="AL44" s="12" t="s">
        <v>52</v>
      </c>
      <c r="AM44" s="15">
        <f>SUM(AI44:AK44)/C$7</f>
        <v>1.77</v>
      </c>
      <c r="AN44" s="11" t="str">
        <f>IF(AM44="","",IF(AM44&lt;=10,"10A",IF(AM44&lt;=16,"16A",IF(AM44&lt;=20,"20A",IF(AM44&lt;=25,"25A",IF(AM44&lt;=35,"35A",IF(AM44&lt;=40,"40A",IF(AM44&lt;=50,"50A",IF(AM44&lt;=63,"63A",IF(AM44&lt;=80,"80A",IF(AM44&lt;=100,"100A",IF(AM44&lt;=125,"125A",IF(AM44&lt;=160,"160A",IF(AM44&lt;=200,"200A","&gt; 200A"))))))))))))))</f>
        <v>10A</v>
      </c>
      <c r="AO44" s="16">
        <f>IF(AM44="",14,IF(AM44&lt;=10,14,IF(AM44&lt;=16,14,IF(AM44&lt;=20,14,IF(AM44&lt;=25,14,IF(AM44&lt;=35,17.3,IF(AM44&lt;=40,17.3,IF(AM44&lt;=50,19.4,IF(AM44&lt;=63,22,IF(AM44&lt;=80,25,IF(AM44&lt;=100,25,IF(AM44&lt;=125,27.5,IF(AM44&lt;=160,30,IF(AM44&lt;=200,34,""))))))))))))))</f>
        <v>14</v>
      </c>
    </row>
    <row r="45" spans="1:41" x14ac:dyDescent="0.25">
      <c r="A45" s="11">
        <v>34</v>
      </c>
      <c r="B45" s="12" t="s">
        <v>85</v>
      </c>
      <c r="C45" s="11" t="str">
        <f>IF(AM45="","RCBO 2P 16A 30mA",IF(AM45&lt;=16,"RCBO 2P 16A 30mA",IF(AM45&lt;=20,"RCBO 2P 20A 30mA",IF(AM45&lt;=25,"RCBO 2P 25A 30mA",IF(AM45&lt;=35,"RCBO 2P 35A 30mA",IF(AM45&lt;=40,"RCBO 2P 40A 30mA",IF(AM45&lt;=50,"RCBO 2P 50A 30mA",IF(AM45&lt;=63,"RCBO 2P 63A 30mA",IF(AM45&lt;=80,"RCBO 2P 80A 30mA",IF(AM45&lt;=100,"RCBO 2P 100A 30mA",IF(AM45&lt;=125,"RCBO 2P 125A 30mA",IF(AM45&lt;=160,"RCBO 2P 160A 30mA",IF(AM45&lt;=200,"RCBO 2P 200A 30mA","RCBO 2P &gt; 200A 30mA")))))))))))))</f>
        <v>RCBO 2P 16A 30mA</v>
      </c>
      <c r="D45" s="12" t="str">
        <f>IF(AM45="","NYY 3C x 4mm2",IF(AM45&lt;=16,"NYY 3C x 4mm2",IF(AM45&lt;=20,"NYY 3C x 4mm2",IF(AM45&lt;=25,"NYY 3C x 4mm2",IF(AM45&lt;=35,"NYY 3C x 6mm2",IF(AM45&lt;=40,"NYY 3C x 6mm2",IF(AM45&lt;=50,"NYY 3C x 10mm2",IF(AM45&lt;=63,"NYY 3C x 16mm2",IF(AM45&lt;=80,"NYY 3C x 25mm2",IF(AM45&lt;=100,"NYY 3C x 25mm2",IF(AM45&lt;=125,"NYY 3C x 35mm2",IF(AM45&lt;=160,"NYY 3C x 50mm2",IF(AM45&lt;=200,"NYY 3C x 70mm2","")))))))))))))</f>
        <v>NYY 3C x 4mm2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>
        <v>5</v>
      </c>
      <c r="AH45" s="13"/>
      <c r="AI45" s="14">
        <f>SUMPRODUCT(E45:AH45,E$11:AH$11)</f>
        <v>1000</v>
      </c>
      <c r="AJ45" s="14"/>
      <c r="AK45" s="14"/>
      <c r="AL45" s="12" t="s">
        <v>52</v>
      </c>
      <c r="AM45" s="15">
        <f>SUM(AI45:AK45)/C$7</f>
        <v>4.55</v>
      </c>
      <c r="AN45" s="11" t="str">
        <f>IF(AM45="","",IF(AM45&lt;=10,"10A",IF(AM45&lt;=16,"16A",IF(AM45&lt;=20,"20A",IF(AM45&lt;=25,"25A",IF(AM45&lt;=35,"35A",IF(AM45&lt;=40,"40A",IF(AM45&lt;=50,"50A",IF(AM45&lt;=63,"63A",IF(AM45&lt;=80,"80A",IF(AM45&lt;=100,"100A",IF(AM45&lt;=125,"125A",IF(AM45&lt;=160,"160A",IF(AM45&lt;=200,"200A","&gt; 200A"))))))))))))))</f>
        <v>10A</v>
      </c>
      <c r="AO45" s="16">
        <f>IF(AM45="",16.1,IF(AM45&lt;=16,16.1,IF(AM45&lt;=20,16.1,IF(AM45&lt;=25,16.1,IF(AM45&lt;=35,17.3,IF(AM45&lt;=40,17.3,IF(AM45&lt;=50,19.4,IF(AM45&lt;=63,22,IF(AM45&lt;=80,25,IF(AM45&lt;=100,25,IF(AM45&lt;=125,27.5,IF(AM45&lt;=160,30,IF(AM45&lt;=200,34,"")))))))))))))</f>
        <v>16.1</v>
      </c>
    </row>
    <row r="46" spans="1:41" x14ac:dyDescent="0.25">
      <c r="A46" s="11">
        <v>35</v>
      </c>
      <c r="B46" s="12" t="s">
        <v>86</v>
      </c>
      <c r="C46" s="11" t="str">
        <f>IF(AM46="","RCBO 2P 16A 30mA",IF(AM46&lt;=16,"RCBO 2P 16A 30mA",IF(AM46&lt;=20,"RCBO 2P 20A 30mA",IF(AM46&lt;=25,"RCBO 2P 25A 30mA",IF(AM46&lt;=35,"RCBO 2P 35A 30mA",IF(AM46&lt;=40,"RCBO 2P 40A 30mA",IF(AM46&lt;=50,"RCBO 2P 50A 30mA",IF(AM46&lt;=63,"RCBO 2P 63A 30mA",IF(AM46&lt;=80,"RCBO 2P 80A 30mA",IF(AM46&lt;=100,"RCBO 2P 100A 30mA",IF(AM46&lt;=125,"RCBO 2P 125A 30mA",IF(AM46&lt;=160,"RCBO 2P 160A 30mA",IF(AM46&lt;=200,"RCBO 2P 200A 30mA","RCBO 2P &gt; 200A 30mA")))))))))))))</f>
        <v>RCBO 2P 16A 30mA</v>
      </c>
      <c r="D46" s="12" t="str">
        <f>IF(AM46="","NYY 3C x 4mm2",IF(AM46&lt;=16,"NYY 3C x 4mm2",IF(AM46&lt;=20,"NYY 3C x 4mm2",IF(AM46&lt;=25,"NYY 3C x 4mm2",IF(AM46&lt;=35,"NYY 3C x 6mm2",IF(AM46&lt;=40,"NYY 3C x 6mm2",IF(AM46&lt;=50,"NYY 3C x 10mm2",IF(AM46&lt;=63,"NYY 3C x 16mm2",IF(AM46&lt;=80,"NYY 3C x 25mm2",IF(AM46&lt;=100,"NYY 3C x 25mm2",IF(AM46&lt;=125,"NYY 3C x 35mm2",IF(AM46&lt;=160,"NYY 3C x 50mm2",IF(AM46&lt;=200,"NYY 3C x 70mm2","")))))))))))))</f>
        <v>NYY 3C x 4mm2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>
        <v>3</v>
      </c>
      <c r="AH46" s="13"/>
      <c r="AI46" s="14"/>
      <c r="AJ46" s="14">
        <f>SUMPRODUCT(E46:AH46,E$11:AH$11)</f>
        <v>600</v>
      </c>
      <c r="AK46" s="14"/>
      <c r="AL46" s="12" t="s">
        <v>52</v>
      </c>
      <c r="AM46" s="15">
        <f>SUM(AI46:AK46)/C$7</f>
        <v>2.73</v>
      </c>
      <c r="AN46" s="11" t="str">
        <f>IF(AM46="","",IF(AM46&lt;=10,"10A",IF(AM46&lt;=16,"16A",IF(AM46&lt;=20,"20A",IF(AM46&lt;=25,"25A",IF(AM46&lt;=35,"35A",IF(AM46&lt;=40,"40A",IF(AM46&lt;=50,"50A",IF(AM46&lt;=63,"63A",IF(AM46&lt;=80,"80A",IF(AM46&lt;=100,"100A",IF(AM46&lt;=125,"125A",IF(AM46&lt;=160,"160A",IF(AM46&lt;=200,"200A","&gt; 200A"))))))))))))))</f>
        <v>10A</v>
      </c>
      <c r="AO46" s="16">
        <f>IF(AM46="",16.1,IF(AM46&lt;=16,16.1,IF(AM46&lt;=20,16.1,IF(AM46&lt;=25,16.1,IF(AM46&lt;=35,17.3,IF(AM46&lt;=40,17.3,IF(AM46&lt;=50,19.4,IF(AM46&lt;=63,22,IF(AM46&lt;=80,25,IF(AM46&lt;=100,25,IF(AM46&lt;=125,27.5,IF(AM46&lt;=160,30,IF(AM46&lt;=200,34,"")))))))))))))</f>
        <v>16.1</v>
      </c>
    </row>
    <row r="47" spans="1:41" x14ac:dyDescent="0.25">
      <c r="A47" s="11">
        <v>36</v>
      </c>
      <c r="B47" s="12" t="s">
        <v>87</v>
      </c>
      <c r="C47" s="11" t="str">
        <f>IF(AM47="","RCBO 2P 16A 30mA",IF(AM47&lt;=16,"RCBO 2P 16A 30mA",IF(AM47&lt;=20,"RCBO 2P 20A 30mA",IF(AM47&lt;=25,"RCBO 2P 25A 30mA",IF(AM47&lt;=35,"RCBO 2P 35A 30mA",IF(AM47&lt;=40,"RCBO 2P 40A 30mA",IF(AM47&lt;=50,"RCBO 2P 50A 30mA",IF(AM47&lt;=63,"RCBO 2P 63A 30mA",IF(AM47&lt;=80,"RCBO 2P 80A 30mA",IF(AM47&lt;=100,"RCBO 2P 100A 30mA",IF(AM47&lt;=125,"RCBO 2P 125A 30mA",IF(AM47&lt;=160,"RCBO 2P 160A 30mA",IF(AM47&lt;=200,"RCBO 2P 200A 30mA","RCBO 2P &gt; 200A 30mA")))))))))))))</f>
        <v>RCBO 2P 16A 30mA</v>
      </c>
      <c r="D47" s="12" t="str">
        <f>IF(AM47="","NYY 3C x 4mm2",IF(AM47&lt;=16,"NYY 3C x 4mm2",IF(AM47&lt;=20,"NYY 3C x 4mm2",IF(AM47&lt;=25,"NYY 3C x 4mm2",IF(AM47&lt;=35,"NYY 3C x 6mm2",IF(AM47&lt;=40,"NYY 3C x 6mm2",IF(AM47&lt;=50,"NYY 3C x 10mm2",IF(AM47&lt;=63,"NYY 3C x 16mm2",IF(AM47&lt;=80,"NYY 3C x 25mm2",IF(AM47&lt;=100,"NYY 3C x 25mm2",IF(AM47&lt;=125,"NYY 3C x 35mm2",IF(AM47&lt;=160,"NYY 3C x 50mm2",IF(AM47&lt;=200,"NYY 3C x 70mm2","")))))))))))))</f>
        <v>NYY 3C x 4mm2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>
        <v>1</v>
      </c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4"/>
      <c r="AJ47" s="14"/>
      <c r="AK47" s="14">
        <f>SUMPRODUCT(E47:AH47,E$11:AH$11)</f>
        <v>2200</v>
      </c>
      <c r="AL47" s="12" t="s">
        <v>52</v>
      </c>
      <c r="AM47" s="15">
        <f>SUM(AI47:AK47)/C$7</f>
        <v>10</v>
      </c>
      <c r="AN47" s="11" t="str">
        <f>IF(AM47="","",IF(AM47&lt;=10,"10A",IF(AM47&lt;=16,"16A",IF(AM47&lt;=20,"20A",IF(AM47&lt;=25,"25A",IF(AM47&lt;=35,"35A",IF(AM47&lt;=40,"40A",IF(AM47&lt;=50,"50A",IF(AM47&lt;=63,"63A",IF(AM47&lt;=80,"80A",IF(AM47&lt;=100,"100A",IF(AM47&lt;=125,"125A",IF(AM47&lt;=160,"160A",IF(AM47&lt;=200,"200A","&gt; 200A"))))))))))))))</f>
        <v>10A</v>
      </c>
      <c r="AO47" s="16">
        <f>IF(AM47="",16.1,IF(AM47&lt;=16,16.1,IF(AM47&lt;=20,16.1,IF(AM47&lt;=25,16.1,IF(AM47&lt;=35,17.3,IF(AM47&lt;=40,17.3,IF(AM47&lt;=50,19.4,IF(AM47&lt;=63,22,IF(AM47&lt;=80,25,IF(AM47&lt;=100,25,IF(AM47&lt;=125,27.5,IF(AM47&lt;=160,30,IF(AM47&lt;=200,34,"")))))))))))))</f>
        <v>16.1</v>
      </c>
    </row>
    <row r="48" spans="1:41" x14ac:dyDescent="0.25">
      <c r="A48" s="11">
        <v>37</v>
      </c>
      <c r="B48" s="12" t="s">
        <v>88</v>
      </c>
      <c r="C48" s="11" t="str">
        <f>IF(AM48="","RCBO 2P 16A 30mA",IF(AM48&lt;=16,"RCBO 2P 16A 30mA",IF(AM48&lt;=20,"RCBO 2P 20A 30mA",IF(AM48&lt;=25,"RCBO 2P 25A 30mA",IF(AM48&lt;=35,"RCBO 2P 35A 30mA",IF(AM48&lt;=40,"RCBO 2P 40A 30mA",IF(AM48&lt;=50,"RCBO 2P 50A 30mA",IF(AM48&lt;=63,"RCBO 2P 63A 30mA",IF(AM48&lt;=80,"RCBO 2P 80A 30mA",IF(AM48&lt;=100,"RCBO 2P 100A 30mA",IF(AM48&lt;=125,"RCBO 2P 125A 30mA",IF(AM48&lt;=160,"RCBO 2P 160A 30mA",IF(AM48&lt;=200,"RCBO 2P 200A 30mA","RCBO 2P &gt; 200A 30mA")))))))))))))</f>
        <v>RCBO 2P 16A 30mA</v>
      </c>
      <c r="D48" s="12" t="str">
        <f>IF(AM48="","NYY 3C x 4mm2",IF(AM48&lt;=16,"NYY 3C x 4mm2",IF(AM48&lt;=20,"NYY 3C x 4mm2",IF(AM48&lt;=25,"NYY 3C x 4mm2",IF(AM48&lt;=35,"NYY 3C x 6mm2",IF(AM48&lt;=40,"NYY 3C x 6mm2",IF(AM48&lt;=50,"NYY 3C x 10mm2",IF(AM48&lt;=63,"NYY 3C x 16mm2",IF(AM48&lt;=80,"NYY 3C x 25mm2",IF(AM48&lt;=100,"NYY 3C x 25mm2",IF(AM48&lt;=125,"NYY 3C x 35mm2",IF(AM48&lt;=160,"NYY 3C x 50mm2",IF(AM48&lt;=200,"NYY 3C x 70mm2","")))))))))))))</f>
        <v>NYY 3C x 4mm2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>
        <v>1</v>
      </c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4">
        <f>SUMPRODUCT(E48:AH48,E$11:AH$11)</f>
        <v>2200</v>
      </c>
      <c r="AJ48" s="14"/>
      <c r="AK48" s="14"/>
      <c r="AL48" s="12" t="s">
        <v>52</v>
      </c>
      <c r="AM48" s="15">
        <f>SUM(AI48:AK48)/C$7</f>
        <v>10</v>
      </c>
      <c r="AN48" s="11" t="str">
        <f>IF(AM48="","",IF(AM48&lt;=10,"10A",IF(AM48&lt;=16,"16A",IF(AM48&lt;=20,"20A",IF(AM48&lt;=25,"25A",IF(AM48&lt;=35,"35A",IF(AM48&lt;=40,"40A",IF(AM48&lt;=50,"50A",IF(AM48&lt;=63,"63A",IF(AM48&lt;=80,"80A",IF(AM48&lt;=100,"100A",IF(AM48&lt;=125,"125A",IF(AM48&lt;=160,"160A",IF(AM48&lt;=200,"200A","&gt; 200A"))))))))))))))</f>
        <v>10A</v>
      </c>
      <c r="AO48" s="16">
        <f>IF(AM48="",16.1,IF(AM48&lt;=16,16.1,IF(AM48&lt;=20,16.1,IF(AM48&lt;=25,16.1,IF(AM48&lt;=35,17.3,IF(AM48&lt;=40,17.3,IF(AM48&lt;=50,19.4,IF(AM48&lt;=63,22,IF(AM48&lt;=80,25,IF(AM48&lt;=100,25,IF(AM48&lt;=125,27.5,IF(AM48&lt;=160,30,IF(AM48&lt;=200,34,"")))))))))))))</f>
        <v>16.1</v>
      </c>
    </row>
    <row r="49" spans="1:41" x14ac:dyDescent="0.25">
      <c r="A49" s="11">
        <v>38</v>
      </c>
      <c r="B49" s="12" t="s">
        <v>89</v>
      </c>
      <c r="C49" s="11" t="str">
        <f>IF(AM49="","RCBO 2P 16A 30mA",IF(AM49&lt;=16,"RCBO 2P 16A 30mA",IF(AM49&lt;=20,"RCBO 2P 20A 30mA",IF(AM49&lt;=25,"RCBO 2P 25A 30mA",IF(AM49&lt;=35,"RCBO 2P 35A 30mA",IF(AM49&lt;=40,"RCBO 2P 40A 30mA",IF(AM49&lt;=50,"RCBO 2P 50A 30mA",IF(AM49&lt;=63,"RCBO 2P 63A 30mA",IF(AM49&lt;=80,"RCBO 2P 80A 30mA",IF(AM49&lt;=100,"RCBO 2P 100A 30mA",IF(AM49&lt;=125,"RCBO 2P 125A 30mA",IF(AM49&lt;=160,"RCBO 2P 160A 30mA",IF(AM49&lt;=200,"RCBO 2P 200A 30mA","RCBO 2P &gt; 200A 30mA")))))))))))))</f>
        <v>RCBO 2P 16A 30mA</v>
      </c>
      <c r="D49" s="12" t="str">
        <f>IF(AM49="","NYY 3C x 4mm2",IF(AM49&lt;=16,"NYY 3C x 4mm2",IF(AM49&lt;=20,"NYY 3C x 4mm2",IF(AM49&lt;=25,"NYY 3C x 4mm2",IF(AM49&lt;=35,"NYY 3C x 6mm2",IF(AM49&lt;=40,"NYY 3C x 6mm2",IF(AM49&lt;=50,"NYY 3C x 10mm2",IF(AM49&lt;=63,"NYY 3C x 16mm2",IF(AM49&lt;=80,"NYY 3C x 25mm2",IF(AM49&lt;=100,"NYY 3C x 25mm2",IF(AM49&lt;=125,"NYY 3C x 35mm2",IF(AM49&lt;=160,"NYY 3C x 50mm2",IF(AM49&lt;=200,"NYY 3C x 70mm2","")))))))))))))</f>
        <v>NYY 3C x 4mm2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>
        <v>2</v>
      </c>
      <c r="AH49" s="13"/>
      <c r="AI49" s="14"/>
      <c r="AJ49" s="14">
        <f>SUMPRODUCT(E49:AH49,E$11:AH$11)</f>
        <v>400</v>
      </c>
      <c r="AK49" s="14"/>
      <c r="AL49" s="12" t="s">
        <v>52</v>
      </c>
      <c r="AM49" s="15">
        <f>SUM(AI49:AK49)/C$7</f>
        <v>1.82</v>
      </c>
      <c r="AN49" s="11" t="str">
        <f>IF(AM49="","",IF(AM49&lt;=10,"10A",IF(AM49&lt;=16,"16A",IF(AM49&lt;=20,"20A",IF(AM49&lt;=25,"25A",IF(AM49&lt;=35,"35A",IF(AM49&lt;=40,"40A",IF(AM49&lt;=50,"50A",IF(AM49&lt;=63,"63A",IF(AM49&lt;=80,"80A",IF(AM49&lt;=100,"100A",IF(AM49&lt;=125,"125A",IF(AM49&lt;=160,"160A",IF(AM49&lt;=200,"200A","&gt; 200A"))))))))))))))</f>
        <v>10A</v>
      </c>
      <c r="AO49" s="16">
        <f>IF(AM49="",16.1,IF(AM49&lt;=16,16.1,IF(AM49&lt;=20,16.1,IF(AM49&lt;=25,16.1,IF(AM49&lt;=35,17.3,IF(AM49&lt;=40,17.3,IF(AM49&lt;=50,19.4,IF(AM49&lt;=63,22,IF(AM49&lt;=80,25,IF(AM49&lt;=100,25,IF(AM49&lt;=125,27.5,IF(AM49&lt;=160,30,IF(AM49&lt;=200,34,"")))))))))))))</f>
        <v>16.1</v>
      </c>
    </row>
    <row r="50" spans="1:41" x14ac:dyDescent="0.25">
      <c r="A50" s="11">
        <v>39</v>
      </c>
      <c r="B50" s="12" t="s">
        <v>90</v>
      </c>
      <c r="C50" s="11" t="str">
        <f>IF(AM50="","RCBO 2P 16A 30mA",IF(AM50&lt;=16,"RCBO 2P 16A 30mA",IF(AM50&lt;=20,"RCBO 2P 20A 30mA",IF(AM50&lt;=25,"RCBO 2P 25A 30mA",IF(AM50&lt;=35,"RCBO 2P 35A 30mA",IF(AM50&lt;=40,"RCBO 2P 40A 30mA",IF(AM50&lt;=50,"RCBO 2P 50A 30mA",IF(AM50&lt;=63,"RCBO 2P 63A 30mA",IF(AM50&lt;=80,"RCBO 2P 80A 30mA",IF(AM50&lt;=100,"RCBO 2P 100A 30mA",IF(AM50&lt;=125,"RCBO 2P 125A 30mA",IF(AM50&lt;=160,"RCBO 2P 160A 30mA",IF(AM50&lt;=200,"RCBO 2P 200A 30mA","RCBO 2P &gt; 200A 30mA")))))))))))))</f>
        <v>RCBO 2P 16A 30mA</v>
      </c>
      <c r="D50" s="12" t="str">
        <f>IF(AM50="","NYY 3C x 4mm2",IF(AM50&lt;=16,"NYY 3C x 4mm2",IF(AM50&lt;=20,"NYY 3C x 4mm2",IF(AM50&lt;=25,"NYY 3C x 4mm2",IF(AM50&lt;=35,"NYY 3C x 6mm2",IF(AM50&lt;=40,"NYY 3C x 6mm2",IF(AM50&lt;=50,"NYY 3C x 10mm2",IF(AM50&lt;=63,"NYY 3C x 16mm2",IF(AM50&lt;=80,"NYY 3C x 25mm2",IF(AM50&lt;=100,"NYY 3C x 25mm2",IF(AM50&lt;=125,"NYY 3C x 35mm2",IF(AM50&lt;=160,"NYY 3C x 50mm2",IF(AM50&lt;=200,"NYY 3C x 70mm2","")))))))))))))</f>
        <v>NYY 3C x 4mm2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>
        <v>1</v>
      </c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4"/>
      <c r="AJ50" s="14"/>
      <c r="AK50" s="14">
        <f>SUMPRODUCT(E50:AH50,E$11:AH$11)</f>
        <v>2200</v>
      </c>
      <c r="AL50" s="12" t="s">
        <v>52</v>
      </c>
      <c r="AM50" s="15">
        <f>SUM(AI50:AK50)/C$7</f>
        <v>10</v>
      </c>
      <c r="AN50" s="11" t="str">
        <f>IF(AM50="","",IF(AM50&lt;=10,"10A",IF(AM50&lt;=16,"16A",IF(AM50&lt;=20,"20A",IF(AM50&lt;=25,"25A",IF(AM50&lt;=35,"35A",IF(AM50&lt;=40,"40A",IF(AM50&lt;=50,"50A",IF(AM50&lt;=63,"63A",IF(AM50&lt;=80,"80A",IF(AM50&lt;=100,"100A",IF(AM50&lt;=125,"125A",IF(AM50&lt;=160,"160A",IF(AM50&lt;=200,"200A","&gt; 200A"))))))))))))))</f>
        <v>10A</v>
      </c>
      <c r="AO50" s="16">
        <f>IF(AM50="",16.1,IF(AM50&lt;=16,16.1,IF(AM50&lt;=20,16.1,IF(AM50&lt;=25,16.1,IF(AM50&lt;=35,17.3,IF(AM50&lt;=40,17.3,IF(AM50&lt;=50,19.4,IF(AM50&lt;=63,22,IF(AM50&lt;=80,25,IF(AM50&lt;=100,25,IF(AM50&lt;=125,27.5,IF(AM50&lt;=160,30,IF(AM50&lt;=200,34,"")))))))))))))</f>
        <v>16.1</v>
      </c>
    </row>
    <row r="51" spans="1:41" x14ac:dyDescent="0.25">
      <c r="A51" s="11">
        <v>40</v>
      </c>
      <c r="B51" s="12" t="s">
        <v>91</v>
      </c>
      <c r="C51" s="11" t="str">
        <f>IF(AM51="","RCBO 2P 16A 30mA",IF(AM51&lt;=16,"RCBO 2P 16A 30mA",IF(AM51&lt;=20,"RCBO 2P 20A 30mA",IF(AM51&lt;=25,"RCBO 2P 25A 30mA",IF(AM51&lt;=35,"RCBO 2P 35A 30mA",IF(AM51&lt;=40,"RCBO 2P 40A 30mA",IF(AM51&lt;=50,"RCBO 2P 50A 30mA",IF(AM51&lt;=63,"RCBO 2P 63A 30mA",IF(AM51&lt;=80,"RCBO 2P 80A 30mA",IF(AM51&lt;=100,"RCBO 2P 100A 30mA",IF(AM51&lt;=125,"RCBO 2P 125A 30mA",IF(AM51&lt;=160,"RCBO 2P 160A 30mA",IF(AM51&lt;=200,"RCBO 2P 200A 30mA","RCBO 2P &gt; 200A 30mA")))))))))))))</f>
        <v>RCBO 2P 16A 30mA</v>
      </c>
      <c r="D51" s="12" t="str">
        <f>IF(AM51="","NYY 3C x 4mm2",IF(AM51&lt;=16,"NYY 3C x 4mm2",IF(AM51&lt;=20,"NYY 3C x 4mm2",IF(AM51&lt;=25,"NYY 3C x 4mm2",IF(AM51&lt;=35,"NYY 3C x 6mm2",IF(AM51&lt;=40,"NYY 3C x 6mm2",IF(AM51&lt;=50,"NYY 3C x 10mm2",IF(AM51&lt;=63,"NYY 3C x 16mm2",IF(AM51&lt;=80,"NYY 3C x 25mm2",IF(AM51&lt;=100,"NYY 3C x 25mm2",IF(AM51&lt;=125,"NYY 3C x 35mm2",IF(AM51&lt;=160,"NYY 3C x 50mm2",IF(AM51&lt;=200,"NYY 3C x 70mm2","")))))))))))))</f>
        <v>NYY 3C x 4mm2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>
        <v>1</v>
      </c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4">
        <f>SUMPRODUCT(E51:AH51,E$11:AH$11)</f>
        <v>2200</v>
      </c>
      <c r="AJ51" s="14"/>
      <c r="AK51" s="14"/>
      <c r="AL51" s="12" t="s">
        <v>52</v>
      </c>
      <c r="AM51" s="15">
        <f>SUM(AI51:AK51)/C$7</f>
        <v>10</v>
      </c>
      <c r="AN51" s="11" t="str">
        <f>IF(AM51="","",IF(AM51&lt;=10,"10A",IF(AM51&lt;=16,"16A",IF(AM51&lt;=20,"20A",IF(AM51&lt;=25,"25A",IF(AM51&lt;=35,"35A",IF(AM51&lt;=40,"40A",IF(AM51&lt;=50,"50A",IF(AM51&lt;=63,"63A",IF(AM51&lt;=80,"80A",IF(AM51&lt;=100,"100A",IF(AM51&lt;=125,"125A",IF(AM51&lt;=160,"160A",IF(AM51&lt;=200,"200A","&gt; 200A"))))))))))))))</f>
        <v>10A</v>
      </c>
      <c r="AO51" s="16">
        <f>IF(AM51="",16.1,IF(AM51&lt;=16,16.1,IF(AM51&lt;=20,16.1,IF(AM51&lt;=25,16.1,IF(AM51&lt;=35,17.3,IF(AM51&lt;=40,17.3,IF(AM51&lt;=50,19.4,IF(AM51&lt;=63,22,IF(AM51&lt;=80,25,IF(AM51&lt;=100,25,IF(AM51&lt;=125,27.5,IF(AM51&lt;=160,30,IF(AM51&lt;=200,34,"")))))))))))))</f>
        <v>16.1</v>
      </c>
    </row>
    <row r="52" spans="1:41" x14ac:dyDescent="0.25">
      <c r="A52" s="11">
        <v>41</v>
      </c>
      <c r="B52" s="12" t="s">
        <v>92</v>
      </c>
      <c r="C52" s="11" t="str">
        <f>IF(AM52="","RCBO 2P 16A 30mA",IF(AM52&lt;=16,"RCBO 2P 16A 30mA",IF(AM52&lt;=20,"RCBO 2P 20A 30mA",IF(AM52&lt;=25,"RCBO 2P 25A 30mA",IF(AM52&lt;=35,"RCBO 2P 35A 30mA",IF(AM52&lt;=40,"RCBO 2P 40A 30mA",IF(AM52&lt;=50,"RCBO 2P 50A 30mA",IF(AM52&lt;=63,"RCBO 2P 63A 30mA",IF(AM52&lt;=80,"RCBO 2P 80A 30mA",IF(AM52&lt;=100,"RCBO 2P 100A 30mA",IF(AM52&lt;=125,"RCBO 2P 125A 30mA",IF(AM52&lt;=160,"RCBO 2P 160A 30mA",IF(AM52&lt;=200,"RCBO 2P 200A 30mA","RCBO 2P &gt; 200A 30mA")))))))))))))</f>
        <v>RCBO 2P 16A 30mA</v>
      </c>
      <c r="D52" s="12" t="str">
        <f>IF(AM52="","NYY 3C x 4mm2",IF(AM52&lt;=16,"NYY 3C x 4mm2",IF(AM52&lt;=20,"NYY 3C x 4mm2",IF(AM52&lt;=25,"NYY 3C x 4mm2",IF(AM52&lt;=35,"NYY 3C x 6mm2",IF(AM52&lt;=40,"NYY 3C x 6mm2",IF(AM52&lt;=50,"NYY 3C x 10mm2",IF(AM52&lt;=63,"NYY 3C x 16mm2",IF(AM52&lt;=80,"NYY 3C x 25mm2",IF(AM52&lt;=100,"NYY 3C x 25mm2",IF(AM52&lt;=125,"NYY 3C x 35mm2",IF(AM52&lt;=160,"NYY 3C x 50mm2",IF(AM52&lt;=200,"NYY 3C x 70mm2","")))))))))))))</f>
        <v>NYY 3C x 4mm2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>
        <v>1</v>
      </c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4"/>
      <c r="AJ52" s="14">
        <f>SUMPRODUCT(E52:AH52,E$11:AH$11)</f>
        <v>2200</v>
      </c>
      <c r="AK52" s="14"/>
      <c r="AL52" s="12" t="s">
        <v>52</v>
      </c>
      <c r="AM52" s="15">
        <f>SUM(AI52:AK52)/C$7</f>
        <v>10</v>
      </c>
      <c r="AN52" s="11" t="str">
        <f>IF(AM52="","",IF(AM52&lt;=10,"10A",IF(AM52&lt;=16,"16A",IF(AM52&lt;=20,"20A",IF(AM52&lt;=25,"25A",IF(AM52&lt;=35,"35A",IF(AM52&lt;=40,"40A",IF(AM52&lt;=50,"50A",IF(AM52&lt;=63,"63A",IF(AM52&lt;=80,"80A",IF(AM52&lt;=100,"100A",IF(AM52&lt;=125,"125A",IF(AM52&lt;=160,"160A",IF(AM52&lt;=200,"200A","&gt; 200A"))))))))))))))</f>
        <v>10A</v>
      </c>
      <c r="AO52" s="16">
        <f>IF(AM52="",16.1,IF(AM52&lt;=16,16.1,IF(AM52&lt;=20,16.1,IF(AM52&lt;=25,16.1,IF(AM52&lt;=35,17.3,IF(AM52&lt;=40,17.3,IF(AM52&lt;=50,19.4,IF(AM52&lt;=63,22,IF(AM52&lt;=80,25,IF(AM52&lt;=100,25,IF(AM52&lt;=125,27.5,IF(AM52&lt;=160,30,IF(AM52&lt;=200,34,"")))))))))))))</f>
        <v>16.1</v>
      </c>
    </row>
    <row r="53" spans="1:41" x14ac:dyDescent="0.25">
      <c r="A53" s="11">
        <v>42</v>
      </c>
      <c r="B53" s="12" t="s">
        <v>93</v>
      </c>
      <c r="C53" s="11" t="str">
        <f>IF(AM53="","RCBO 2P 16A 30mA",IF(AM53&lt;=16,"RCBO 2P 16A 30mA",IF(AM53&lt;=20,"RCBO 2P 20A 30mA",IF(AM53&lt;=25,"RCBO 2P 25A 30mA",IF(AM53&lt;=35,"RCBO 2P 35A 30mA",IF(AM53&lt;=40,"RCBO 2P 40A 30mA",IF(AM53&lt;=50,"RCBO 2P 50A 30mA",IF(AM53&lt;=63,"RCBO 2P 63A 30mA",IF(AM53&lt;=80,"RCBO 2P 80A 30mA",IF(AM53&lt;=100,"RCBO 2P 100A 30mA",IF(AM53&lt;=125,"RCBO 2P 125A 30mA",IF(AM53&lt;=160,"RCBO 2P 160A 30mA",IF(AM53&lt;=200,"RCBO 2P 200A 30mA","RCBO 2P &gt; 200A 30mA")))))))))))))</f>
        <v>RCBO 2P 16A 30mA</v>
      </c>
      <c r="D53" s="12" t="str">
        <f>IF(AM53="","NYY 3C x 4mm2",IF(AM53&lt;=16,"NYY 3C x 4mm2",IF(AM53&lt;=20,"NYY 3C x 4mm2",IF(AM53&lt;=25,"NYY 3C x 4mm2",IF(AM53&lt;=35,"NYY 3C x 6mm2",IF(AM53&lt;=40,"NYY 3C x 6mm2",IF(AM53&lt;=50,"NYY 3C x 10mm2",IF(AM53&lt;=63,"NYY 3C x 16mm2",IF(AM53&lt;=80,"NYY 3C x 25mm2",IF(AM53&lt;=100,"NYY 3C x 25mm2",IF(AM53&lt;=125,"NYY 3C x 35mm2",IF(AM53&lt;=160,"NYY 3C x 50mm2",IF(AM53&lt;=200,"NYY 3C x 70mm2","")))))))))))))</f>
        <v>NYY 3C x 4mm2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>
        <v>1</v>
      </c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4"/>
      <c r="AJ53" s="14"/>
      <c r="AK53" s="14">
        <f>SUMPRODUCT(E53:AH53,E$11:AH$11)</f>
        <v>2200</v>
      </c>
      <c r="AL53" s="12" t="s">
        <v>52</v>
      </c>
      <c r="AM53" s="15">
        <f>SUM(AI53:AK53)/C$7</f>
        <v>10</v>
      </c>
      <c r="AN53" s="11" t="str">
        <f>IF(AM53="","",IF(AM53&lt;=10,"10A",IF(AM53&lt;=16,"16A",IF(AM53&lt;=20,"20A",IF(AM53&lt;=25,"25A",IF(AM53&lt;=35,"35A",IF(AM53&lt;=40,"40A",IF(AM53&lt;=50,"50A",IF(AM53&lt;=63,"63A",IF(AM53&lt;=80,"80A",IF(AM53&lt;=100,"100A",IF(AM53&lt;=125,"125A",IF(AM53&lt;=160,"160A",IF(AM53&lt;=200,"200A","&gt; 200A"))))))))))))))</f>
        <v>10A</v>
      </c>
      <c r="AO53" s="16">
        <f>IF(AM53="",16.1,IF(AM53&lt;=16,16.1,IF(AM53&lt;=20,16.1,IF(AM53&lt;=25,16.1,IF(AM53&lt;=35,17.3,IF(AM53&lt;=40,17.3,IF(AM53&lt;=50,19.4,IF(AM53&lt;=63,22,IF(AM53&lt;=80,25,IF(AM53&lt;=100,25,IF(AM53&lt;=125,27.5,IF(AM53&lt;=160,30,IF(AM53&lt;=200,34,"")))))))))))))</f>
        <v>16.1</v>
      </c>
    </row>
    <row r="54" spans="1:41" x14ac:dyDescent="0.25">
      <c r="A54" s="11">
        <v>43</v>
      </c>
      <c r="B54" s="12" t="s">
        <v>94</v>
      </c>
      <c r="C54" s="11" t="str">
        <f>IF(AM54="","RCBO 2P 16A 30mA",IF(AM54&lt;=16,"RCBO 2P 16A 30mA",IF(AM54&lt;=20,"RCBO 2P 20A 30mA",IF(AM54&lt;=25,"RCBO 2P 25A 30mA",IF(AM54&lt;=35,"RCBO 2P 35A 30mA",IF(AM54&lt;=40,"RCBO 2P 40A 30mA",IF(AM54&lt;=50,"RCBO 2P 50A 30mA",IF(AM54&lt;=63,"RCBO 2P 63A 30mA",IF(AM54&lt;=80,"RCBO 2P 80A 30mA",IF(AM54&lt;=100,"RCBO 2P 100A 30mA",IF(AM54&lt;=125,"RCBO 2P 125A 30mA",IF(AM54&lt;=160,"RCBO 2P 160A 30mA",IF(AM54&lt;=200,"RCBO 2P 200A 30mA","RCBO 2P &gt; 200A 30mA")))))))))))))</f>
        <v>RCBO 2P 16A 30mA</v>
      </c>
      <c r="D54" s="12" t="str">
        <f>IF(AM54="","NYY 3C x 4mm2",IF(AM54&lt;=16,"NYY 3C x 4mm2",IF(AM54&lt;=20,"NYY 3C x 4mm2",IF(AM54&lt;=25,"NYY 3C x 4mm2",IF(AM54&lt;=35,"NYY 3C x 6mm2",IF(AM54&lt;=40,"NYY 3C x 6mm2",IF(AM54&lt;=50,"NYY 3C x 10mm2",IF(AM54&lt;=63,"NYY 3C x 16mm2",IF(AM54&lt;=80,"NYY 3C x 25mm2",IF(AM54&lt;=100,"NYY 3C x 25mm2",IF(AM54&lt;=125,"NYY 3C x 35mm2",IF(AM54&lt;=160,"NYY 3C x 50mm2",IF(AM54&lt;=200,"NYY 3C x 70mm2","")))))))))))))</f>
        <v>NYY 3C x 4mm2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>
        <v>1</v>
      </c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4">
        <f>SUMPRODUCT(E54:AH54,E$11:AH$11)</f>
        <v>2200</v>
      </c>
      <c r="AJ54" s="14"/>
      <c r="AK54" s="14"/>
      <c r="AL54" s="12" t="s">
        <v>52</v>
      </c>
      <c r="AM54" s="15">
        <f>SUM(AI54:AK54)/C$7</f>
        <v>10</v>
      </c>
      <c r="AN54" s="11" t="str">
        <f>IF(AM54="","",IF(AM54&lt;=10,"10A",IF(AM54&lt;=16,"16A",IF(AM54&lt;=20,"20A",IF(AM54&lt;=25,"25A",IF(AM54&lt;=35,"35A",IF(AM54&lt;=40,"40A",IF(AM54&lt;=50,"50A",IF(AM54&lt;=63,"63A",IF(AM54&lt;=80,"80A",IF(AM54&lt;=100,"100A",IF(AM54&lt;=125,"125A",IF(AM54&lt;=160,"160A",IF(AM54&lt;=200,"200A","&gt; 200A"))))))))))))))</f>
        <v>10A</v>
      </c>
      <c r="AO54" s="16">
        <f>IF(AM54="",16.1,IF(AM54&lt;=16,16.1,IF(AM54&lt;=20,16.1,IF(AM54&lt;=25,16.1,IF(AM54&lt;=35,17.3,IF(AM54&lt;=40,17.3,IF(AM54&lt;=50,19.4,IF(AM54&lt;=63,22,IF(AM54&lt;=80,25,IF(AM54&lt;=100,25,IF(AM54&lt;=125,27.5,IF(AM54&lt;=160,30,IF(AM54&lt;=200,34,"")))))))))))))</f>
        <v>16.1</v>
      </c>
    </row>
    <row r="55" spans="1:41" x14ac:dyDescent="0.25">
      <c r="A55" s="11">
        <v>44</v>
      </c>
      <c r="B55" s="12" t="s">
        <v>95</v>
      </c>
      <c r="C55" s="11" t="str">
        <f>IF(AM55="","RCBO 2P 16A 30mA",IF(AM55&lt;=16,"RCBO 2P 16A 30mA",IF(AM55&lt;=20,"RCBO 2P 20A 30mA",IF(AM55&lt;=25,"RCBO 2P 25A 30mA",IF(AM55&lt;=35,"RCBO 2P 35A 30mA",IF(AM55&lt;=40,"RCBO 2P 40A 30mA",IF(AM55&lt;=50,"RCBO 2P 50A 30mA",IF(AM55&lt;=63,"RCBO 2P 63A 30mA",IF(AM55&lt;=80,"RCBO 2P 80A 30mA",IF(AM55&lt;=100,"RCBO 2P 100A 30mA",IF(AM55&lt;=125,"RCBO 2P 125A 30mA",IF(AM55&lt;=160,"RCBO 2P 160A 30mA",IF(AM55&lt;=200,"RCBO 2P 200A 30mA","RCBO 2P &gt; 200A 30mA")))))))))))))</f>
        <v>RCBO 2P 16A 30mA</v>
      </c>
      <c r="D55" s="12" t="str">
        <f>IF(AM55="","NYY 3C x 4mm2",IF(AM55&lt;=16,"NYY 3C x 4mm2",IF(AM55&lt;=20,"NYY 3C x 4mm2",IF(AM55&lt;=25,"NYY 3C x 4mm2",IF(AM55&lt;=35,"NYY 3C x 6mm2",IF(AM55&lt;=40,"NYY 3C x 6mm2",IF(AM55&lt;=50,"NYY 3C x 10mm2",IF(AM55&lt;=63,"NYY 3C x 16mm2",IF(AM55&lt;=80,"NYY 3C x 25mm2",IF(AM55&lt;=100,"NYY 3C x 25mm2",IF(AM55&lt;=125,"NYY 3C x 35mm2",IF(AM55&lt;=160,"NYY 3C x 50mm2",IF(AM55&lt;=200,"NYY 3C x 70mm2","")))))))))))))</f>
        <v>NYY 3C x 4mm2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>
        <v>1</v>
      </c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4"/>
      <c r="AJ55" s="14">
        <f>SUMPRODUCT(E55:AH55,E$11:AH$11)</f>
        <v>2200</v>
      </c>
      <c r="AK55" s="14"/>
      <c r="AL55" s="12" t="s">
        <v>52</v>
      </c>
      <c r="AM55" s="15">
        <f>SUM(AI55:AK55)/C$7</f>
        <v>10</v>
      </c>
      <c r="AN55" s="11" t="str">
        <f>IF(AM55="","",IF(AM55&lt;=10,"10A",IF(AM55&lt;=16,"16A",IF(AM55&lt;=20,"20A",IF(AM55&lt;=25,"25A",IF(AM55&lt;=35,"35A",IF(AM55&lt;=40,"40A",IF(AM55&lt;=50,"50A",IF(AM55&lt;=63,"63A",IF(AM55&lt;=80,"80A",IF(AM55&lt;=100,"100A",IF(AM55&lt;=125,"125A",IF(AM55&lt;=160,"160A",IF(AM55&lt;=200,"200A","&gt; 200A"))))))))))))))</f>
        <v>10A</v>
      </c>
      <c r="AO55" s="16">
        <f>IF(AM55="",16.1,IF(AM55&lt;=16,16.1,IF(AM55&lt;=20,16.1,IF(AM55&lt;=25,16.1,IF(AM55&lt;=35,17.3,IF(AM55&lt;=40,17.3,IF(AM55&lt;=50,19.4,IF(AM55&lt;=63,22,IF(AM55&lt;=80,25,IF(AM55&lt;=100,25,IF(AM55&lt;=125,27.5,IF(AM55&lt;=160,30,IF(AM55&lt;=200,34,"")))))))))))))</f>
        <v>16.1</v>
      </c>
    </row>
    <row r="56" spans="1:41" x14ac:dyDescent="0.25">
      <c r="A56" s="11">
        <v>45</v>
      </c>
      <c r="B56" s="12" t="s">
        <v>96</v>
      </c>
      <c r="C56" s="11" t="str">
        <f>IF(AM56="","RCBO 2P 16A 30mA",IF(AM56&lt;=16,"RCBO 2P 16A 30mA",IF(AM56&lt;=20,"RCBO 2P 20A 30mA",IF(AM56&lt;=25,"RCBO 2P 25A 30mA",IF(AM56&lt;=35,"RCBO 2P 35A 30mA",IF(AM56&lt;=40,"RCBO 2P 40A 30mA",IF(AM56&lt;=50,"RCBO 2P 50A 30mA",IF(AM56&lt;=63,"RCBO 2P 63A 30mA",IF(AM56&lt;=80,"RCBO 2P 80A 30mA",IF(AM56&lt;=100,"RCBO 2P 100A 30mA",IF(AM56&lt;=125,"RCBO 2P 125A 30mA",IF(AM56&lt;=160,"RCBO 2P 160A 30mA",IF(AM56&lt;=200,"RCBO 2P 200A 30mA","RCBO 2P &gt; 200A 30mA")))))))))))))</f>
        <v>RCBO 2P 16A 30mA</v>
      </c>
      <c r="D56" s="12" t="str">
        <f>IF(AM56="","NYY 3C x 4mm2",IF(AM56&lt;=16,"NYY 3C x 4mm2",IF(AM56&lt;=20,"NYY 3C x 4mm2",IF(AM56&lt;=25,"NYY 3C x 4mm2",IF(AM56&lt;=35,"NYY 3C x 6mm2",IF(AM56&lt;=40,"NYY 3C x 6mm2",IF(AM56&lt;=50,"NYY 3C x 10mm2",IF(AM56&lt;=63,"NYY 3C x 16mm2",IF(AM56&lt;=80,"NYY 3C x 25mm2",IF(AM56&lt;=100,"NYY 3C x 25mm2",IF(AM56&lt;=125,"NYY 3C x 35mm2",IF(AM56&lt;=160,"NYY 3C x 50mm2",IF(AM56&lt;=200,"NYY 3C x 70mm2","")))))))))))))</f>
        <v>NYY 3C x 4mm2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>
        <v>1</v>
      </c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4"/>
      <c r="AJ56" s="14"/>
      <c r="AK56" s="14">
        <f>SUMPRODUCT(E56:AH56,E$11:AH$11)</f>
        <v>2200</v>
      </c>
      <c r="AL56" s="12" t="s">
        <v>52</v>
      </c>
      <c r="AM56" s="15">
        <f>SUM(AI56:AK56)/C$7</f>
        <v>10</v>
      </c>
      <c r="AN56" s="11" t="str">
        <f>IF(AM56="","",IF(AM56&lt;=10,"10A",IF(AM56&lt;=16,"16A",IF(AM56&lt;=20,"20A",IF(AM56&lt;=25,"25A",IF(AM56&lt;=35,"35A",IF(AM56&lt;=40,"40A",IF(AM56&lt;=50,"50A",IF(AM56&lt;=63,"63A",IF(AM56&lt;=80,"80A",IF(AM56&lt;=100,"100A",IF(AM56&lt;=125,"125A",IF(AM56&lt;=160,"160A",IF(AM56&lt;=200,"200A","&gt; 200A"))))))))))))))</f>
        <v>10A</v>
      </c>
      <c r="AO56" s="16">
        <f>IF(AM56="",16.1,IF(AM56&lt;=16,16.1,IF(AM56&lt;=20,16.1,IF(AM56&lt;=25,16.1,IF(AM56&lt;=35,17.3,IF(AM56&lt;=40,17.3,IF(AM56&lt;=50,19.4,IF(AM56&lt;=63,22,IF(AM56&lt;=80,25,IF(AM56&lt;=100,25,IF(AM56&lt;=125,27.5,IF(AM56&lt;=160,30,IF(AM56&lt;=200,34,"")))))))))))))</f>
        <v>16.1</v>
      </c>
    </row>
    <row r="57" spans="1:41" x14ac:dyDescent="0.25">
      <c r="A57" s="11">
        <v>46</v>
      </c>
      <c r="B57" s="12" t="s">
        <v>97</v>
      </c>
      <c r="C57" s="11" t="str">
        <f>IF(AM57="","RCBO 2P 16A 30mA",IF(AM57&lt;=16,"RCBO 2P 16A 30mA",IF(AM57&lt;=20,"RCBO 2P 20A 30mA",IF(AM57&lt;=25,"RCBO 2P 25A 30mA",IF(AM57&lt;=35,"RCBO 2P 35A 30mA",IF(AM57&lt;=40,"RCBO 2P 40A 30mA",IF(AM57&lt;=50,"RCBO 2P 50A 30mA",IF(AM57&lt;=63,"RCBO 2P 63A 30mA",IF(AM57&lt;=80,"RCBO 2P 80A 30mA",IF(AM57&lt;=100,"RCBO 2P 100A 30mA",IF(AM57&lt;=125,"RCBO 2P 125A 30mA",IF(AM57&lt;=160,"RCBO 2P 160A 30mA",IF(AM57&lt;=200,"RCBO 2P 200A 30mA","RCBO 2P &gt; 200A 30mA")))))))))))))</f>
        <v>RCBO 2P 16A 30mA</v>
      </c>
      <c r="D57" s="12" t="str">
        <f>IF(AM57="","NYY 3C x 4mm2",IF(AM57&lt;=16,"NYY 3C x 4mm2",IF(AM57&lt;=20,"NYY 3C x 4mm2",IF(AM57&lt;=25,"NYY 3C x 4mm2",IF(AM57&lt;=35,"NYY 3C x 6mm2",IF(AM57&lt;=40,"NYY 3C x 6mm2",IF(AM57&lt;=50,"NYY 3C x 10mm2",IF(AM57&lt;=63,"NYY 3C x 16mm2",IF(AM57&lt;=80,"NYY 3C x 25mm2",IF(AM57&lt;=100,"NYY 3C x 25mm2",IF(AM57&lt;=125,"NYY 3C x 35mm2",IF(AM57&lt;=160,"NYY 3C x 50mm2",IF(AM57&lt;=200,"NYY 3C x 70mm2","")))))))))))))</f>
        <v>NYY 3C x 4mm2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>
        <v>1</v>
      </c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>
        <f>SUMPRODUCT(E57:AH57,E$11:AH$11)</f>
        <v>2200</v>
      </c>
      <c r="AJ57" s="14"/>
      <c r="AK57" s="14"/>
      <c r="AL57" s="12" t="s">
        <v>52</v>
      </c>
      <c r="AM57" s="15">
        <f>SUM(AI57:AK57)/C$7</f>
        <v>10</v>
      </c>
      <c r="AN57" s="11" t="str">
        <f>IF(AM57="","",IF(AM57&lt;=10,"10A",IF(AM57&lt;=16,"16A",IF(AM57&lt;=20,"20A",IF(AM57&lt;=25,"25A",IF(AM57&lt;=35,"35A",IF(AM57&lt;=40,"40A",IF(AM57&lt;=50,"50A",IF(AM57&lt;=63,"63A",IF(AM57&lt;=80,"80A",IF(AM57&lt;=100,"100A",IF(AM57&lt;=125,"125A",IF(AM57&lt;=160,"160A",IF(AM57&lt;=200,"200A","&gt; 200A"))))))))))))))</f>
        <v>10A</v>
      </c>
      <c r="AO57" s="16">
        <f>IF(AM57="",16.1,IF(AM57&lt;=16,16.1,IF(AM57&lt;=20,16.1,IF(AM57&lt;=25,16.1,IF(AM57&lt;=35,17.3,IF(AM57&lt;=40,17.3,IF(AM57&lt;=50,19.4,IF(AM57&lt;=63,22,IF(AM57&lt;=80,25,IF(AM57&lt;=100,25,IF(AM57&lt;=125,27.5,IF(AM57&lt;=160,30,IF(AM57&lt;=200,34,"")))))))))))))</f>
        <v>16.1</v>
      </c>
    </row>
    <row r="58" spans="1:41" x14ac:dyDescent="0.25">
      <c r="A58" s="11">
        <v>47</v>
      </c>
      <c r="B58" s="12" t="s">
        <v>98</v>
      </c>
      <c r="C58" s="11" t="str">
        <f>IF(AM58="","RCCB 4P 16A 30mA",IF(AM58&lt;=16,"RCCB 4P 16A 30mA",IF(AM58&lt;=20,"RCCB 4P 20A 30mA",IF(AM58&lt;=25,"RCCB 4P 25A 30mA",IF(AM58&lt;=35,"RCCB 4P 35A 30mA",IF(AM58&lt;=40,"RCCB 4P 40A 30mA",IF(AM58&lt;=50,"RCCB 4P 50A 30mA",IF(AM58&lt;=63,"RCCB 4P 63A 30mA",IF(AM58&lt;=80,"RCCB 4P 80A 30mA",IF(AM58&lt;=100,"RCCB 4P 100A 30mA",IF(AM58&lt;=125,"RCCB 4P 125A 30mA",IF(AM58&lt;=160,"RCCB 4P 160A 30mA",IF(AM58&lt;=200,"RCCB 4P 200A 30mA","RCCB 4P &gt; 200A 30mA")))))))))))))</f>
        <v>RCCB 4P 20A 30mA</v>
      </c>
      <c r="D58" s="12" t="str">
        <f>IF(AM58="","NYY 5C x 4mm2",IF(AM58&lt;=16,"NYY 5C x 4mm2",IF(AM58&lt;=20,"NYY 5C x 4mm2",IF(AM58&lt;=25,"NYY 5C x 4mm2",IF(AM58&lt;=35,"NYY 5C x 4mm2",IF(AM58&lt;=40,"NYY 5C x 4mm2",IF(AM58&lt;=50,"NYY 5C x 6mm2",IF(AM58&lt;=63,"NYY 5C x 10mm2",IF(AM58&lt;=80,"NYY 5C x 16mm2",IF(AM58&lt;=100,"NYY 5C x 25mm2",IF(AM58&lt;=125,"NYY 5C x 25mm2",IF(AM58&lt;=160,"NYY 5C x 50mm2",IF(AM58&lt;=200,"NYY 5C x 50mm2","")))))))))))))</f>
        <v>NYY 5C x 4mm2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>
        <v>1</v>
      </c>
      <c r="AI58" s="14">
        <f>SUMPRODUCT(E58:AH58,E$11:AH$11)/3</f>
        <v>3000</v>
      </c>
      <c r="AJ58" s="14">
        <f>SUMPRODUCT(E58:AH58,E$11:AH$11)/3</f>
        <v>3000</v>
      </c>
      <c r="AK58" s="14">
        <f>SUMPRODUCT(E58:AH58,E$11:AH$11)/3</f>
        <v>3000</v>
      </c>
      <c r="AL58" s="12" t="s">
        <v>52</v>
      </c>
      <c r="AM58" s="15">
        <f>SUM(AI58:AK58)/(C$5*SQRT(3)*C$6)</f>
        <v>17.09</v>
      </c>
      <c r="AN58" s="11" t="str">
        <f>IF(AM58="","",IF(AM58&lt;=10,"10A",IF(AM58&lt;=16,"16A",IF(AM58&lt;=20,"20A",IF(AM58&lt;=25,"25A",IF(AM58&lt;=35,"35A",IF(AM58&lt;=40,"40A",IF(AM58&lt;=50,"50A",IF(AM58&lt;=63,"63A",IF(AM58&lt;=80,"80A",IF(AM58&lt;=100,"100A",IF(AM58&lt;=125,"125A",IF(AM58&lt;=160,"160A",IF(AM58&lt;=200,"200A","&gt; 200A"))))))))))))))</f>
        <v>20A</v>
      </c>
      <c r="AO58" s="16">
        <f>IF(AM58="",18.7,IF(AM58&lt;=16,18.7,IF(AM58&lt;=20,18.7,IF(AM58&lt;=25,18.7,IF(AM58&lt;=35,18.7,IF(AM58&lt;=40,18.7,IF(AM58&lt;=50,20.5,IF(AM58&lt;=63,23,IF(AM58&lt;=80,26,IF(AM58&lt;=100,30,IF(AM58&lt;=125,30,IF(AM58&lt;=160,38,IF(AM58&lt;=200,38,"")))))))))))))</f>
        <v>18.7</v>
      </c>
    </row>
    <row r="59" spans="1:41" x14ac:dyDescent="0.25">
      <c r="A59" s="11">
        <v>48</v>
      </c>
      <c r="B59" s="12" t="s">
        <v>99</v>
      </c>
      <c r="C59" s="11" t="str">
        <f>IF(AM59="","RCCB 4P 16A 30mA",IF(AM59&lt;=16,"RCCB 4P 16A 30mA",IF(AM59&lt;=20,"RCCB 4P 20A 30mA",IF(AM59&lt;=25,"RCCB 4P 25A 30mA",IF(AM59&lt;=35,"RCCB 4P 35A 30mA",IF(AM59&lt;=40,"RCCB 4P 40A 30mA",IF(AM59&lt;=50,"RCCB 4P 50A 30mA",IF(AM59&lt;=63,"RCCB 4P 63A 30mA",IF(AM59&lt;=80,"RCCB 4P 80A 30mA",IF(AM59&lt;=100,"RCCB 4P 100A 30mA",IF(AM59&lt;=125,"RCCB 4P 125A 30mA",IF(AM59&lt;=160,"RCCB 4P 160A 30mA",IF(AM59&lt;=200,"RCCB 4P 200A 30mA","RCCB 4P &gt; 200A 30mA")))))))))))))</f>
        <v>RCCB 4P 16A 30mA</v>
      </c>
      <c r="D59" s="12" t="str">
        <f>IF(AM59="","NYY 5C x 4mm2",IF(AM59&lt;=16,"NYY 5C x 4mm2",IF(AM59&lt;=20,"NYY 5C x 4mm2",IF(AM59&lt;=25,"NYY 5C x 4mm2",IF(AM59&lt;=35,"NYY 5C x 4mm2",IF(AM59&lt;=40,"NYY 5C x 4mm2",IF(AM59&lt;=50,"NYY 5C x 6mm2",IF(AM59&lt;=63,"NYY 5C x 10mm2",IF(AM59&lt;=80,"NYY 5C x 16mm2",IF(AM59&lt;=100,"NYY 5C x 25mm2",IF(AM59&lt;=125,"NYY 5C x 25mm2",IF(AM59&lt;=160,"NYY 5C x 50mm2",IF(AM59&lt;=200,"NYY 5C x 50mm2","")))))))))))))</f>
        <v>NYY 5C x 4mm2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>
        <v>1</v>
      </c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4">
        <f>SUMPRODUCT(E59:AH59,E$11:AH$11)/3</f>
        <v>1000</v>
      </c>
      <c r="AJ59" s="14">
        <f>SUMPRODUCT(E59:AH59,E$11:AH$11)/3</f>
        <v>1000</v>
      </c>
      <c r="AK59" s="14">
        <f>SUMPRODUCT(E59:AH59,E$11:AH$11)/3</f>
        <v>1000</v>
      </c>
      <c r="AL59" s="12" t="s">
        <v>52</v>
      </c>
      <c r="AM59" s="15">
        <f>SUM(AI59:AK59)/(C$5*SQRT(3)*C$6)</f>
        <v>5.7</v>
      </c>
      <c r="AN59" s="11" t="str">
        <f>IF(AM59="","",IF(AM59&lt;=10,"10A",IF(AM59&lt;=16,"16A",IF(AM59&lt;=20,"20A",IF(AM59&lt;=25,"25A",IF(AM59&lt;=35,"35A",IF(AM59&lt;=40,"40A",IF(AM59&lt;=50,"50A",IF(AM59&lt;=63,"63A",IF(AM59&lt;=80,"80A",IF(AM59&lt;=100,"100A",IF(AM59&lt;=125,"125A",IF(AM59&lt;=160,"160A",IF(AM59&lt;=200,"200A","&gt; 200A"))))))))))))))</f>
        <v>10A</v>
      </c>
      <c r="AO59" s="16">
        <f>IF(AM59="",18.7,IF(AM59&lt;=16,18.7,IF(AM59&lt;=20,18.7,IF(AM59&lt;=25,18.7,IF(AM59&lt;=35,18.7,IF(AM59&lt;=40,18.7,IF(AM59&lt;=50,20.5,IF(AM59&lt;=63,23,IF(AM59&lt;=80,26,IF(AM59&lt;=100,30,IF(AM59&lt;=125,30,IF(AM59&lt;=160,38,IF(AM59&lt;=200,38,"")))))))))))))</f>
        <v>18.7</v>
      </c>
    </row>
    <row r="60" spans="1:41" x14ac:dyDescent="0.25">
      <c r="A60" s="11">
        <v>49</v>
      </c>
      <c r="B60" s="12" t="s">
        <v>100</v>
      </c>
      <c r="C60" s="11" t="str">
        <f>IF(AM60="","RCCB 4P 16A 30mA",IF(AM60&lt;=16,"RCCB 4P 16A 30mA",IF(AM60&lt;=20,"RCCB 4P 20A 30mA",IF(AM60&lt;=25,"RCCB 4P 25A 30mA",IF(AM60&lt;=35,"RCCB 4P 35A 30mA",IF(AM60&lt;=40,"RCCB 4P 40A 30mA",IF(AM60&lt;=50,"RCCB 4P 50A 30mA",IF(AM60&lt;=63,"RCCB 4P 63A 30mA",IF(AM60&lt;=80,"RCCB 4P 80A 30mA",IF(AM60&lt;=100,"RCCB 4P 100A 30mA",IF(AM60&lt;=125,"RCCB 4P 125A 30mA",IF(AM60&lt;=160,"RCCB 4P 160A 30mA",IF(AM60&lt;=200,"RCCB 4P 200A 30mA","RCCB 4P &gt; 200A 30mA")))))))))))))</f>
        <v>RCCB 4P 16A 30mA</v>
      </c>
      <c r="D60" s="12" t="str">
        <f>IF(AM60="","NYY 5C x 4mm2",IF(AM60&lt;=16,"NYY 5C x 4mm2",IF(AM60&lt;=20,"NYY 5C x 4mm2",IF(AM60&lt;=25,"NYY 5C x 4mm2",IF(AM60&lt;=35,"NYY 5C x 4mm2",IF(AM60&lt;=40,"NYY 5C x 4mm2",IF(AM60&lt;=50,"NYY 5C x 6mm2",IF(AM60&lt;=63,"NYY 5C x 10mm2",IF(AM60&lt;=80,"NYY 5C x 16mm2",IF(AM60&lt;=100,"NYY 5C x 25mm2",IF(AM60&lt;=125,"NYY 5C x 25mm2",IF(AM60&lt;=160,"NYY 5C x 50mm2",IF(AM60&lt;=200,"NYY 5C x 50mm2","")))))))))))))</f>
        <v>NYY 5C x 4mm2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>
        <v>1</v>
      </c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4">
        <f>SUMPRODUCT(E60:AH60,E$11:AH$11)/3</f>
        <v>1000</v>
      </c>
      <c r="AJ60" s="14">
        <f>SUMPRODUCT(E60:AH60,E$11:AH$11)/3</f>
        <v>1000</v>
      </c>
      <c r="AK60" s="14">
        <f>SUMPRODUCT(E60:AH60,E$11:AH$11)/3</f>
        <v>1000</v>
      </c>
      <c r="AL60" s="12" t="s">
        <v>52</v>
      </c>
      <c r="AM60" s="15">
        <f>SUM(AI60:AK60)/(C$5*SQRT(3)*C$6)</f>
        <v>5.7</v>
      </c>
      <c r="AN60" s="11" t="str">
        <f>IF(AM60="","",IF(AM60&lt;=10,"10A",IF(AM60&lt;=16,"16A",IF(AM60&lt;=20,"20A",IF(AM60&lt;=25,"25A",IF(AM60&lt;=35,"35A",IF(AM60&lt;=40,"40A",IF(AM60&lt;=50,"50A",IF(AM60&lt;=63,"63A",IF(AM60&lt;=80,"80A",IF(AM60&lt;=100,"100A",IF(AM60&lt;=125,"125A",IF(AM60&lt;=160,"160A",IF(AM60&lt;=200,"200A","&gt; 200A"))))))))))))))</f>
        <v>10A</v>
      </c>
      <c r="AO60" s="16">
        <f>IF(AM60="",18.7,IF(AM60&lt;=16,18.7,IF(AM60&lt;=20,18.7,IF(AM60&lt;=25,18.7,IF(AM60&lt;=35,18.7,IF(AM60&lt;=40,18.7,IF(AM60&lt;=50,20.5,IF(AM60&lt;=63,23,IF(AM60&lt;=80,26,IF(AM60&lt;=100,30,IF(AM60&lt;=125,30,IF(AM60&lt;=160,38,IF(AM60&lt;=200,38,"")))))))))))))</f>
        <v>18.7</v>
      </c>
    </row>
    <row r="61" spans="1:41" x14ac:dyDescent="0.25">
      <c r="A61" s="11">
        <v>50</v>
      </c>
      <c r="B61" s="12" t="s">
        <v>101</v>
      </c>
      <c r="C61" s="11" t="str">
        <f>IF(AM61="","RCCB 4P 16A 30mA",IF(AM61&lt;=16,"RCCB 4P 16A 30mA",IF(AM61&lt;=20,"RCCB 4P 20A 30mA",IF(AM61&lt;=25,"RCCB 4P 25A 30mA",IF(AM61&lt;=35,"RCCB 4P 35A 30mA",IF(AM61&lt;=40,"RCCB 4P 40A 30mA",IF(AM61&lt;=50,"RCCB 4P 50A 30mA",IF(AM61&lt;=63,"RCCB 4P 63A 30mA",IF(AM61&lt;=80,"RCCB 4P 80A 30mA",IF(AM61&lt;=100,"RCCB 4P 100A 30mA",IF(AM61&lt;=125,"RCCB 4P 125A 30mA",IF(AM61&lt;=160,"RCCB 4P 160A 30mA",IF(AM61&lt;=200,"RCCB 4P 200A 30mA","RCCB 4P &gt; 200A 30mA")))))))))))))</f>
        <v>RCCB 4P 16A 30mA</v>
      </c>
      <c r="D61" s="12" t="str">
        <f>IF(AM61="","NYY 5C x 4mm2",IF(AM61&lt;=16,"NYY 5C x 4mm2",IF(AM61&lt;=20,"NYY 5C x 4mm2",IF(AM61&lt;=25,"NYY 5C x 4mm2",IF(AM61&lt;=35,"NYY 5C x 4mm2",IF(AM61&lt;=40,"NYY 5C x 4mm2",IF(AM61&lt;=50,"NYY 5C x 6mm2",IF(AM61&lt;=63,"NYY 5C x 10mm2",IF(AM61&lt;=80,"NYY 5C x 16mm2",IF(AM61&lt;=100,"NYY 5C x 25mm2",IF(AM61&lt;=125,"NYY 5C x 25mm2",IF(AM61&lt;=160,"NYY 5C x 50mm2",IF(AM61&lt;=200,"NYY 5C x 50mm2","")))))))))))))</f>
        <v>NYY 5C x 4mm2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>
        <v>1</v>
      </c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4">
        <f>SUMPRODUCT(E61:AH61,E$11:AH$11)/3</f>
        <v>1000</v>
      </c>
      <c r="AJ61" s="14">
        <f>SUMPRODUCT(E61:AH61,E$11:AH$11)/3</f>
        <v>1000</v>
      </c>
      <c r="AK61" s="14">
        <f>SUMPRODUCT(E61:AH61,E$11:AH$11)/3</f>
        <v>1000</v>
      </c>
      <c r="AL61" s="12" t="s">
        <v>52</v>
      </c>
      <c r="AM61" s="15">
        <f>SUM(AI61:AK61)/(C$5*SQRT(3)*C$6)</f>
        <v>5.7</v>
      </c>
      <c r="AN61" s="11" t="str">
        <f>IF(AM61="","",IF(AM61&lt;=10,"10A",IF(AM61&lt;=16,"16A",IF(AM61&lt;=20,"20A",IF(AM61&lt;=25,"25A",IF(AM61&lt;=35,"35A",IF(AM61&lt;=40,"40A",IF(AM61&lt;=50,"50A",IF(AM61&lt;=63,"63A",IF(AM61&lt;=80,"80A",IF(AM61&lt;=100,"100A",IF(AM61&lt;=125,"125A",IF(AM61&lt;=160,"160A",IF(AM61&lt;=200,"200A","&gt; 200A"))))))))))))))</f>
        <v>10A</v>
      </c>
      <c r="AO61" s="16">
        <f>IF(AM61="",18.7,IF(AM61&lt;=16,18.7,IF(AM61&lt;=20,18.7,IF(AM61&lt;=25,18.7,IF(AM61&lt;=35,18.7,IF(AM61&lt;=40,18.7,IF(AM61&lt;=50,20.5,IF(AM61&lt;=63,23,IF(AM61&lt;=80,26,IF(AM61&lt;=100,30,IF(AM61&lt;=125,30,IF(AM61&lt;=160,38,IF(AM61&lt;=200,38,"")))))))))))))</f>
        <v>18.7</v>
      </c>
    </row>
    <row r="62" spans="1:41" x14ac:dyDescent="0.25">
      <c r="A62" s="11">
        <v>51</v>
      </c>
      <c r="B62" s="12" t="s">
        <v>102</v>
      </c>
      <c r="C62" s="11" t="str">
        <f>IF(AM62="","RCCB 4P 16A 30mA",IF(AM62&lt;=16,"RCCB 4P 16A 30mA",IF(AM62&lt;=20,"RCCB 4P 20A 30mA",IF(AM62&lt;=25,"RCCB 4P 25A 30mA",IF(AM62&lt;=35,"RCCB 4P 35A 30mA",IF(AM62&lt;=40,"RCCB 4P 40A 30mA",IF(AM62&lt;=50,"RCCB 4P 50A 30mA",IF(AM62&lt;=63,"RCCB 4P 63A 30mA",IF(AM62&lt;=80,"RCCB 4P 80A 30mA",IF(AM62&lt;=100,"RCCB 4P 100A 30mA",IF(AM62&lt;=125,"RCCB 4P 125A 30mA",IF(AM62&lt;=160,"RCCB 4P 160A 30mA",IF(AM62&lt;=200,"RCCB 4P 200A 30mA","RCCB 4P &gt; 200A 30mA")))))))))))))</f>
        <v>RCCB 4P 16A 30mA</v>
      </c>
      <c r="D62" s="12" t="str">
        <f>IF(AM62="","NYY 5C x 4mm2",IF(AM62&lt;=16,"NYY 5C x 4mm2",IF(AM62&lt;=20,"NYY 5C x 4mm2",IF(AM62&lt;=25,"NYY 5C x 4mm2",IF(AM62&lt;=35,"NYY 5C x 4mm2",IF(AM62&lt;=40,"NYY 5C x 4mm2",IF(AM62&lt;=50,"NYY 5C x 6mm2",IF(AM62&lt;=63,"NYY 5C x 10mm2",IF(AM62&lt;=80,"NYY 5C x 16mm2",IF(AM62&lt;=100,"NYY 5C x 25mm2",IF(AM62&lt;=125,"NYY 5C x 25mm2",IF(AM62&lt;=160,"NYY 5C x 50mm2",IF(AM62&lt;=200,"NYY 5C x 50mm2","")))))))))))))</f>
        <v>NYY 5C x 4mm2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>
        <v>1</v>
      </c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4">
        <f>SUMPRODUCT(E62:AH62,E$11:AH$11)/3</f>
        <v>1000</v>
      </c>
      <c r="AJ62" s="14">
        <f>SUMPRODUCT(E62:AH62,E$11:AH$11)/3</f>
        <v>1000</v>
      </c>
      <c r="AK62" s="14">
        <f>SUMPRODUCT(E62:AH62,E$11:AH$11)/3</f>
        <v>1000</v>
      </c>
      <c r="AL62" s="12" t="s">
        <v>52</v>
      </c>
      <c r="AM62" s="15">
        <f>SUM(AI62:AK62)/(C$5*SQRT(3)*C$6)</f>
        <v>5.7</v>
      </c>
      <c r="AN62" s="11" t="str">
        <f>IF(AM62="","",IF(AM62&lt;=10,"10A",IF(AM62&lt;=16,"16A",IF(AM62&lt;=20,"20A",IF(AM62&lt;=25,"25A",IF(AM62&lt;=35,"35A",IF(AM62&lt;=40,"40A",IF(AM62&lt;=50,"50A",IF(AM62&lt;=63,"63A",IF(AM62&lt;=80,"80A",IF(AM62&lt;=100,"100A",IF(AM62&lt;=125,"125A",IF(AM62&lt;=160,"160A",IF(AM62&lt;=200,"200A","&gt; 200A"))))))))))))))</f>
        <v>10A</v>
      </c>
      <c r="AO62" s="16">
        <f>IF(AM62="",18.7,IF(AM62&lt;=16,18.7,IF(AM62&lt;=20,18.7,IF(AM62&lt;=25,18.7,IF(AM62&lt;=35,18.7,IF(AM62&lt;=40,18.7,IF(AM62&lt;=50,20.5,IF(AM62&lt;=63,23,IF(AM62&lt;=80,26,IF(AM62&lt;=100,30,IF(AM62&lt;=125,30,IF(AM62&lt;=160,38,IF(AM62&lt;=200,38,"")))))))))))))</f>
        <v>18.7</v>
      </c>
    </row>
    <row r="63" spans="1:41" x14ac:dyDescent="0.25">
      <c r="A63" s="11">
        <v>52</v>
      </c>
      <c r="B63" s="12" t="s">
        <v>103</v>
      </c>
      <c r="C63" s="11" t="str">
        <f>IF(AM63="","RCCB 4P 16A 30mA",IF(AM63&lt;=16,"RCCB 4P 16A 30mA",IF(AM63&lt;=20,"RCCB 4P 20A 30mA",IF(AM63&lt;=25,"RCCB 4P 25A 30mA",IF(AM63&lt;=35,"RCCB 4P 35A 30mA",IF(AM63&lt;=40,"RCCB 4P 40A 30mA",IF(AM63&lt;=50,"RCCB 4P 50A 30mA",IF(AM63&lt;=63,"RCCB 4P 63A 30mA",IF(AM63&lt;=80,"RCCB 4P 80A 30mA",IF(AM63&lt;=100,"RCCB 4P 100A 30mA",IF(AM63&lt;=125,"RCCB 4P 125A 30mA",IF(AM63&lt;=160,"RCCB 4P 160A 30mA",IF(AM63&lt;=200,"RCCB 4P 200A 30mA","RCCB 4P &gt; 200A 30mA")))))))))))))</f>
        <v>RCCB 4P 16A 30mA</v>
      </c>
      <c r="D63" s="12" t="str">
        <f>IF(AM63="","NYY 5C x 4mm2",IF(AM63&lt;=16,"NYY 5C x 4mm2",IF(AM63&lt;=20,"NYY 5C x 4mm2",IF(AM63&lt;=25,"NYY 5C x 4mm2",IF(AM63&lt;=35,"NYY 5C x 4mm2",IF(AM63&lt;=40,"NYY 5C x 4mm2",IF(AM63&lt;=50,"NYY 5C x 6mm2",IF(AM63&lt;=63,"NYY 5C x 10mm2",IF(AM63&lt;=80,"NYY 5C x 16mm2",IF(AM63&lt;=100,"NYY 5C x 25mm2",IF(AM63&lt;=125,"NYY 5C x 25mm2",IF(AM63&lt;=160,"NYY 5C x 50mm2",IF(AM63&lt;=200,"NYY 5C x 50mm2","")))))))))))))</f>
        <v>NYY 5C x 4mm2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>
        <v>1</v>
      </c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4">
        <f>SUMPRODUCT(E63:AH63,E$11:AH$11)/3</f>
        <v>1000</v>
      </c>
      <c r="AJ63" s="14">
        <f>SUMPRODUCT(E63:AH63,E$11:AH$11)/3</f>
        <v>1000</v>
      </c>
      <c r="AK63" s="14">
        <f>SUMPRODUCT(E63:AH63,E$11:AH$11)/3</f>
        <v>1000</v>
      </c>
      <c r="AL63" s="12" t="s">
        <v>52</v>
      </c>
      <c r="AM63" s="15">
        <f>SUM(AI63:AK63)/(C$5*SQRT(3)*C$6)</f>
        <v>5.7</v>
      </c>
      <c r="AN63" s="11" t="str">
        <f>IF(AM63="","",IF(AM63&lt;=10,"10A",IF(AM63&lt;=16,"16A",IF(AM63&lt;=20,"20A",IF(AM63&lt;=25,"25A",IF(AM63&lt;=35,"35A",IF(AM63&lt;=40,"40A",IF(AM63&lt;=50,"50A",IF(AM63&lt;=63,"63A",IF(AM63&lt;=80,"80A",IF(AM63&lt;=100,"100A",IF(AM63&lt;=125,"125A",IF(AM63&lt;=160,"160A",IF(AM63&lt;=200,"200A","&gt; 200A"))))))))))))))</f>
        <v>10A</v>
      </c>
      <c r="AO63" s="16">
        <f>IF(AM63="",18.7,IF(AM63&lt;=16,18.7,IF(AM63&lt;=20,18.7,IF(AM63&lt;=25,18.7,IF(AM63&lt;=35,18.7,IF(AM63&lt;=40,18.7,IF(AM63&lt;=50,20.5,IF(AM63&lt;=63,23,IF(AM63&lt;=80,26,IF(AM63&lt;=100,30,IF(AM63&lt;=125,30,IF(AM63&lt;=160,38,IF(AM63&lt;=200,38,"")))))))))))))</f>
        <v>18.7</v>
      </c>
    </row>
    <row r="64" spans="1:41" x14ac:dyDescent="0.25">
      <c r="A64" s="11">
        <v>53</v>
      </c>
      <c r="B64" s="12" t="s">
        <v>104</v>
      </c>
      <c r="C64" s="11" t="str">
        <f>IF(AM64="","RCCB 4P 16A 30mA",IF(AM64&lt;=16,"RCCB 4P 16A 30mA",IF(AM64&lt;=20,"RCCB 4P 20A 30mA",IF(AM64&lt;=25,"RCCB 4P 25A 30mA",IF(AM64&lt;=35,"RCCB 4P 35A 30mA",IF(AM64&lt;=40,"RCCB 4P 40A 30mA",IF(AM64&lt;=50,"RCCB 4P 50A 30mA",IF(AM64&lt;=63,"RCCB 4P 63A 30mA",IF(AM64&lt;=80,"RCCB 4P 80A 30mA",IF(AM64&lt;=100,"RCCB 4P 100A 30mA",IF(AM64&lt;=125,"RCCB 4P 125A 30mA",IF(AM64&lt;=160,"RCCB 4P 160A 30mA",IF(AM64&lt;=200,"RCCB 4P 200A 30mA","RCCB 4P &gt; 200A 30mA")))))))))))))</f>
        <v>RCCB 4P 16A 30mA</v>
      </c>
      <c r="D64" s="12" t="str">
        <f>IF(AM64="","NYY 5C x 4mm2",IF(AM64&lt;=16,"NYY 5C x 4mm2",IF(AM64&lt;=20,"NYY 5C x 4mm2",IF(AM64&lt;=25,"NYY 5C x 4mm2",IF(AM64&lt;=35,"NYY 5C x 4mm2",IF(AM64&lt;=40,"NYY 5C x 4mm2",IF(AM64&lt;=50,"NYY 5C x 6mm2",IF(AM64&lt;=63,"NYY 5C x 10mm2",IF(AM64&lt;=80,"NYY 5C x 16mm2",IF(AM64&lt;=100,"NYY 5C x 25mm2",IF(AM64&lt;=125,"NYY 5C x 25mm2",IF(AM64&lt;=160,"NYY 5C x 50mm2",IF(AM64&lt;=200,"NYY 5C x 50mm2","")))))))))))))</f>
        <v>NYY 5C x 4mm2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>
        <v>1</v>
      </c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4">
        <f>SUMPRODUCT(E64:AH64,E$11:AH$11)/3</f>
        <v>1000</v>
      </c>
      <c r="AJ64" s="14">
        <f>SUMPRODUCT(E64:AH64,E$11:AH$11)/3</f>
        <v>1000</v>
      </c>
      <c r="AK64" s="14">
        <f>SUMPRODUCT(E64:AH64,E$11:AH$11)/3</f>
        <v>1000</v>
      </c>
      <c r="AL64" s="12" t="s">
        <v>52</v>
      </c>
      <c r="AM64" s="15">
        <f>SUM(AI64:AK64)/(C$5*SQRT(3)*C$6)</f>
        <v>5.7</v>
      </c>
      <c r="AN64" s="11" t="str">
        <f>IF(AM64="","",IF(AM64&lt;=10,"10A",IF(AM64&lt;=16,"16A",IF(AM64&lt;=20,"20A",IF(AM64&lt;=25,"25A",IF(AM64&lt;=35,"35A",IF(AM64&lt;=40,"40A",IF(AM64&lt;=50,"50A",IF(AM64&lt;=63,"63A",IF(AM64&lt;=80,"80A",IF(AM64&lt;=100,"100A",IF(AM64&lt;=125,"125A",IF(AM64&lt;=160,"160A",IF(AM64&lt;=200,"200A","&gt; 200A"))))))))))))))</f>
        <v>10A</v>
      </c>
      <c r="AO64" s="16">
        <f>IF(AM64="",18.7,IF(AM64&lt;=16,18.7,IF(AM64&lt;=20,18.7,IF(AM64&lt;=25,18.7,IF(AM64&lt;=35,18.7,IF(AM64&lt;=40,18.7,IF(AM64&lt;=50,20.5,IF(AM64&lt;=63,23,IF(AM64&lt;=80,26,IF(AM64&lt;=100,30,IF(AM64&lt;=125,30,IF(AM64&lt;=160,38,IF(AM64&lt;=200,38,"")))))))))))))</f>
        <v>18.7</v>
      </c>
    </row>
    <row r="65" spans="1:41" x14ac:dyDescent="0.25">
      <c r="A65" s="11">
        <v>54</v>
      </c>
      <c r="B65" s="12" t="s">
        <v>105</v>
      </c>
      <c r="C65" s="11" t="str">
        <f>IF(AM65="","RCCB 4P 16A 30mA",IF(AM65&lt;=16,"RCCB 4P 16A 30mA",IF(AM65&lt;=20,"RCCB 4P 20A 30mA",IF(AM65&lt;=25,"RCCB 4P 25A 30mA",IF(AM65&lt;=35,"RCCB 4P 35A 30mA",IF(AM65&lt;=40,"RCCB 4P 40A 30mA",IF(AM65&lt;=50,"RCCB 4P 50A 30mA",IF(AM65&lt;=63,"RCCB 4P 63A 30mA",IF(AM65&lt;=80,"RCCB 4P 80A 30mA",IF(AM65&lt;=100,"RCCB 4P 100A 30mA",IF(AM65&lt;=125,"RCCB 4P 125A 30mA",IF(AM65&lt;=160,"RCCB 4P 160A 30mA",IF(AM65&lt;=200,"RCCB 4P 200A 30mA","RCCB 4P &gt; 200A 30mA")))))))))))))</f>
        <v>RCCB 4P 16A 30mA</v>
      </c>
      <c r="D65" s="12" t="str">
        <f>IF(AM65="","NYY 5C x 4mm2",IF(AM65&lt;=16,"NYY 5C x 4mm2",IF(AM65&lt;=20,"NYY 5C x 4mm2",IF(AM65&lt;=25,"NYY 5C x 4mm2",IF(AM65&lt;=35,"NYY 5C x 4mm2",IF(AM65&lt;=40,"NYY 5C x 4mm2",IF(AM65&lt;=50,"NYY 5C x 6mm2",IF(AM65&lt;=63,"NYY 5C x 10mm2",IF(AM65&lt;=80,"NYY 5C x 16mm2",IF(AM65&lt;=100,"NYY 5C x 25mm2",IF(AM65&lt;=125,"NYY 5C x 25mm2",IF(AM65&lt;=160,"NYY 5C x 50mm2",IF(AM65&lt;=200,"NYY 5C x 50mm2","")))))))))))))</f>
        <v>NYY 5C x 4mm2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>
        <v>1</v>
      </c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4">
        <f>SUMPRODUCT(E65:AH65,E$11:AH$11)/3</f>
        <v>1000</v>
      </c>
      <c r="AJ65" s="14">
        <f>SUMPRODUCT(E65:AH65,E$11:AH$11)/3</f>
        <v>1000</v>
      </c>
      <c r="AK65" s="14">
        <f>SUMPRODUCT(E65:AH65,E$11:AH$11)/3</f>
        <v>1000</v>
      </c>
      <c r="AL65" s="12" t="s">
        <v>52</v>
      </c>
      <c r="AM65" s="15">
        <f>SUM(AI65:AK65)/(C$5*SQRT(3)*C$6)</f>
        <v>5.7</v>
      </c>
      <c r="AN65" s="11" t="str">
        <f>IF(AM65="","",IF(AM65&lt;=10,"10A",IF(AM65&lt;=16,"16A",IF(AM65&lt;=20,"20A",IF(AM65&lt;=25,"25A",IF(AM65&lt;=35,"35A",IF(AM65&lt;=40,"40A",IF(AM65&lt;=50,"50A",IF(AM65&lt;=63,"63A",IF(AM65&lt;=80,"80A",IF(AM65&lt;=100,"100A",IF(AM65&lt;=125,"125A",IF(AM65&lt;=160,"160A",IF(AM65&lt;=200,"200A","&gt; 200A"))))))))))))))</f>
        <v>10A</v>
      </c>
      <c r="AO65" s="16">
        <f>IF(AM65="",18.7,IF(AM65&lt;=16,18.7,IF(AM65&lt;=20,18.7,IF(AM65&lt;=25,18.7,IF(AM65&lt;=35,18.7,IF(AM65&lt;=40,18.7,IF(AM65&lt;=50,20.5,IF(AM65&lt;=63,23,IF(AM65&lt;=80,26,IF(AM65&lt;=100,30,IF(AM65&lt;=125,30,IF(AM65&lt;=160,38,IF(AM65&lt;=200,38,"")))))))))))))</f>
        <v>18.7</v>
      </c>
    </row>
    <row r="66" spans="1:41" x14ac:dyDescent="0.25">
      <c r="A66" s="11">
        <v>55</v>
      </c>
      <c r="B66" s="12" t="s">
        <v>106</v>
      </c>
      <c r="C66" s="11" t="str">
        <f>IF(AM66="","RCCB 4P 16A 30mA",IF(AM66&lt;=16,"RCCB 4P 16A 30mA",IF(AM66&lt;=20,"RCCB 4P 20A 30mA",IF(AM66&lt;=25,"RCCB 4P 25A 30mA",IF(AM66&lt;=35,"RCCB 4P 35A 30mA",IF(AM66&lt;=40,"RCCB 4P 40A 30mA",IF(AM66&lt;=50,"RCCB 4P 50A 30mA",IF(AM66&lt;=63,"RCCB 4P 63A 30mA",IF(AM66&lt;=80,"RCCB 4P 80A 30mA",IF(AM66&lt;=100,"RCCB 4P 100A 30mA",IF(AM66&lt;=125,"RCCB 4P 125A 30mA",IF(AM66&lt;=160,"RCCB 4P 160A 30mA",IF(AM66&lt;=200,"RCCB 4P 200A 30mA","RCCB 4P &gt; 200A 30mA")))))))))))))</f>
        <v>RCCB 4P 16A 30mA</v>
      </c>
      <c r="D66" s="12" t="str">
        <f>IF(AM66="","NYY 5C x 4mm2",IF(AM66&lt;=16,"NYY 5C x 4mm2",IF(AM66&lt;=20,"NYY 5C x 4mm2",IF(AM66&lt;=25,"NYY 5C x 4mm2",IF(AM66&lt;=35,"NYY 5C x 4mm2",IF(AM66&lt;=40,"NYY 5C x 4mm2",IF(AM66&lt;=50,"NYY 5C x 6mm2",IF(AM66&lt;=63,"NYY 5C x 10mm2",IF(AM66&lt;=80,"NYY 5C x 16mm2",IF(AM66&lt;=100,"NYY 5C x 25mm2",IF(AM66&lt;=125,"NYY 5C x 25mm2",IF(AM66&lt;=160,"NYY 5C x 50mm2",IF(AM66&lt;=200,"NYY 5C x 50mm2","")))))))))))))</f>
        <v>NYY 5C x 4mm2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>
        <v>1</v>
      </c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4">
        <f>SUMPRODUCT(E66:AH66,E$11:AH$11)/3</f>
        <v>1000</v>
      </c>
      <c r="AJ66" s="14">
        <f>SUMPRODUCT(E66:AH66,E$11:AH$11)/3</f>
        <v>1000</v>
      </c>
      <c r="AK66" s="14">
        <f>SUMPRODUCT(E66:AH66,E$11:AH$11)/3</f>
        <v>1000</v>
      </c>
      <c r="AL66" s="12" t="s">
        <v>52</v>
      </c>
      <c r="AM66" s="15">
        <f>SUM(AI66:AK66)/(C$5*SQRT(3)*C$6)</f>
        <v>5.7</v>
      </c>
      <c r="AN66" s="11" t="str">
        <f>IF(AM66="","",IF(AM66&lt;=10,"10A",IF(AM66&lt;=16,"16A",IF(AM66&lt;=20,"20A",IF(AM66&lt;=25,"25A",IF(AM66&lt;=35,"35A",IF(AM66&lt;=40,"40A",IF(AM66&lt;=50,"50A",IF(AM66&lt;=63,"63A",IF(AM66&lt;=80,"80A",IF(AM66&lt;=100,"100A",IF(AM66&lt;=125,"125A",IF(AM66&lt;=160,"160A",IF(AM66&lt;=200,"200A","&gt; 200A"))))))))))))))</f>
        <v>10A</v>
      </c>
      <c r="AO66" s="16">
        <f>IF(AM66="",18.7,IF(AM66&lt;=16,18.7,IF(AM66&lt;=20,18.7,IF(AM66&lt;=25,18.7,IF(AM66&lt;=35,18.7,IF(AM66&lt;=40,18.7,IF(AM66&lt;=50,20.5,IF(AM66&lt;=63,23,IF(AM66&lt;=80,26,IF(AM66&lt;=100,30,IF(AM66&lt;=125,30,IF(AM66&lt;=160,38,IF(AM66&lt;=200,38,"")))))))))))))</f>
        <v>18.7</v>
      </c>
    </row>
    <row r="67" spans="1:41" x14ac:dyDescent="0.25">
      <c r="A67" s="11">
        <v>56</v>
      </c>
      <c r="B67" s="12" t="s">
        <v>107</v>
      </c>
      <c r="C67" s="11" t="str">
        <f>IF(AM67="","RCCB 4P 16A 30mA",IF(AM67&lt;=16,"RCCB 4P 16A 30mA",IF(AM67&lt;=20,"RCCB 4P 20A 30mA",IF(AM67&lt;=25,"RCCB 4P 25A 30mA",IF(AM67&lt;=35,"RCCB 4P 35A 30mA",IF(AM67&lt;=40,"RCCB 4P 40A 30mA",IF(AM67&lt;=50,"RCCB 4P 50A 30mA",IF(AM67&lt;=63,"RCCB 4P 63A 30mA",IF(AM67&lt;=80,"RCCB 4P 80A 30mA",IF(AM67&lt;=100,"RCCB 4P 100A 30mA",IF(AM67&lt;=125,"RCCB 4P 125A 30mA",IF(AM67&lt;=160,"RCCB 4P 160A 30mA",IF(AM67&lt;=200,"RCCB 4P 200A 30mA","RCCB 4P &gt; 200A 30mA")))))))))))))</f>
        <v>RCCB 4P 50A 30mA</v>
      </c>
      <c r="D67" s="12" t="str">
        <f>IF(AM67="","NYY 5C x 4mm2",IF(AM67&lt;=16,"NYY 5C x 4mm2",IF(AM67&lt;=20,"NYY 5C x 4mm2",IF(AM67&lt;=25,"NYY 5C x 4mm2",IF(AM67&lt;=35,"NYY 5C x 4mm2",IF(AM67&lt;=40,"NYY 5C x 4mm2",IF(AM67&lt;=50,"NYY 5C x 6mm2",IF(AM67&lt;=63,"NYY 5C x 10mm2",IF(AM67&lt;=80,"NYY 5C x 16mm2",IF(AM67&lt;=100,"NYY 5C x 25mm2",IF(AM67&lt;=125,"NYY 5C x 25mm2",IF(AM67&lt;=160,"NYY 5C x 50mm2",IF(AM67&lt;=200,"NYY 5C x 50mm2","")))))))))))))</f>
        <v>NYY 5C x 6mm2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>
        <v>1</v>
      </c>
      <c r="Z67" s="13"/>
      <c r="AA67" s="13"/>
      <c r="AB67" s="13"/>
      <c r="AC67" s="13"/>
      <c r="AD67" s="13"/>
      <c r="AE67" s="13"/>
      <c r="AF67" s="13"/>
      <c r="AG67" s="13"/>
      <c r="AH67" s="13"/>
      <c r="AI67" s="14">
        <f>SUMPRODUCT(E67:AH67,E$11:AH$11)/3</f>
        <v>7333.3</v>
      </c>
      <c r="AJ67" s="14">
        <f>SUMPRODUCT(E67:AH67,E$11:AH$11)/3</f>
        <v>7333.3</v>
      </c>
      <c r="AK67" s="14">
        <f>SUMPRODUCT(E67:AH67,E$11:AH$11)/3</f>
        <v>7333.3</v>
      </c>
      <c r="AL67" s="12" t="s">
        <v>52</v>
      </c>
      <c r="AM67" s="15">
        <f>SUM(AI67:AK67)/(C$5*SQRT(3)*C$6)</f>
        <v>41.78</v>
      </c>
      <c r="AN67" s="11" t="str">
        <f>IF(AM67="","",IF(AM67&lt;=10,"10A",IF(AM67&lt;=16,"16A",IF(AM67&lt;=20,"20A",IF(AM67&lt;=25,"25A",IF(AM67&lt;=35,"35A",IF(AM67&lt;=40,"40A",IF(AM67&lt;=50,"50A",IF(AM67&lt;=63,"63A",IF(AM67&lt;=80,"80A",IF(AM67&lt;=100,"100A",IF(AM67&lt;=125,"125A",IF(AM67&lt;=160,"160A",IF(AM67&lt;=200,"200A","&gt; 200A"))))))))))))))</f>
        <v>50A</v>
      </c>
      <c r="AO67" s="16">
        <f>IF(AM67="",18.7,IF(AM67&lt;=16,18.7,IF(AM67&lt;=20,18.7,IF(AM67&lt;=25,18.7,IF(AM67&lt;=35,18.7,IF(AM67&lt;=40,18.7,IF(AM67&lt;=50,20.5,IF(AM67&lt;=63,23,IF(AM67&lt;=80,26,IF(AM67&lt;=100,30,IF(AM67&lt;=125,30,IF(AM67&lt;=160,38,IF(AM67&lt;=200,38,"")))))))))))))</f>
        <v>20.5</v>
      </c>
    </row>
    <row r="68" spans="1:41" x14ac:dyDescent="0.25">
      <c r="A68" s="11">
        <v>57</v>
      </c>
      <c r="B68" s="12" t="s">
        <v>108</v>
      </c>
      <c r="C68" s="11" t="str">
        <f>IF(AM68="","RCCB 4P 16A 30mA",IF(AM68&lt;=16,"RCCB 4P 16A 30mA",IF(AM68&lt;=20,"RCCB 4P 20A 30mA",IF(AM68&lt;=25,"RCCB 4P 25A 30mA",IF(AM68&lt;=35,"RCCB 4P 35A 30mA",IF(AM68&lt;=40,"RCCB 4P 40A 30mA",IF(AM68&lt;=50,"RCCB 4P 50A 30mA",IF(AM68&lt;=63,"RCCB 4P 63A 30mA",IF(AM68&lt;=80,"RCCB 4P 80A 30mA",IF(AM68&lt;=100,"RCCB 4P 100A 30mA",IF(AM68&lt;=125,"RCCB 4P 125A 30mA",IF(AM68&lt;=160,"RCCB 4P 160A 30mA",IF(AM68&lt;=200,"RCCB 4P 200A 30mA","RCCB 4P &gt; 200A 30mA")))))))))))))</f>
        <v>RCCB 4P 50A 30mA</v>
      </c>
      <c r="D68" s="12" t="str">
        <f>IF(AM68="","NYY 5C x 4mm2",IF(AM68&lt;=16,"NYY 5C x 4mm2",IF(AM68&lt;=20,"NYY 5C x 4mm2",IF(AM68&lt;=25,"NYY 5C x 4mm2",IF(AM68&lt;=35,"NYY 5C x 4mm2",IF(AM68&lt;=40,"NYY 5C x 4mm2",IF(AM68&lt;=50,"NYY 5C x 6mm2",IF(AM68&lt;=63,"NYY 5C x 10mm2",IF(AM68&lt;=80,"NYY 5C x 16mm2",IF(AM68&lt;=100,"NYY 5C x 25mm2",IF(AM68&lt;=125,"NYY 5C x 25mm2",IF(AM68&lt;=160,"NYY 5C x 50mm2",IF(AM68&lt;=200,"NYY 5C x 50mm2","")))))))))))))</f>
        <v>NYY 5C x 6mm2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>
        <v>1</v>
      </c>
      <c r="Z68" s="13"/>
      <c r="AA68" s="13"/>
      <c r="AB68" s="13"/>
      <c r="AC68" s="13"/>
      <c r="AD68" s="13"/>
      <c r="AE68" s="13"/>
      <c r="AF68" s="13"/>
      <c r="AG68" s="13"/>
      <c r="AH68" s="13"/>
      <c r="AI68" s="14">
        <f>SUMPRODUCT(E68:AH68,E$11:AH$11)/3</f>
        <v>7333.3</v>
      </c>
      <c r="AJ68" s="14">
        <f>SUMPRODUCT(E68:AH68,E$11:AH$11)/3</f>
        <v>7333.3</v>
      </c>
      <c r="AK68" s="14">
        <f>SUMPRODUCT(E68:AH68,E$11:AH$11)/3</f>
        <v>7333.3</v>
      </c>
      <c r="AL68" s="12" t="s">
        <v>52</v>
      </c>
      <c r="AM68" s="15">
        <f>SUM(AI68:AK68)/(C$5*SQRT(3)*C$6)</f>
        <v>41.78</v>
      </c>
      <c r="AN68" s="11" t="str">
        <f>IF(AM68="","",IF(AM68&lt;=10,"10A",IF(AM68&lt;=16,"16A",IF(AM68&lt;=20,"20A",IF(AM68&lt;=25,"25A",IF(AM68&lt;=35,"35A",IF(AM68&lt;=40,"40A",IF(AM68&lt;=50,"50A",IF(AM68&lt;=63,"63A",IF(AM68&lt;=80,"80A",IF(AM68&lt;=100,"100A",IF(AM68&lt;=125,"125A",IF(AM68&lt;=160,"160A",IF(AM68&lt;=200,"200A","&gt; 200A"))))))))))))))</f>
        <v>50A</v>
      </c>
      <c r="AO68" s="16">
        <f>IF(AM68="",18.7,IF(AM68&lt;=16,18.7,IF(AM68&lt;=20,18.7,IF(AM68&lt;=25,18.7,IF(AM68&lt;=35,18.7,IF(AM68&lt;=40,18.7,IF(AM68&lt;=50,20.5,IF(AM68&lt;=63,23,IF(AM68&lt;=80,26,IF(AM68&lt;=100,30,IF(AM68&lt;=125,30,IF(AM68&lt;=160,38,IF(AM68&lt;=200,38,"")))))))))))))</f>
        <v>20.5</v>
      </c>
    </row>
    <row r="69" spans="1:41" x14ac:dyDescent="0.25">
      <c r="A69" s="11">
        <v>58</v>
      </c>
      <c r="B69" s="12" t="s">
        <v>109</v>
      </c>
      <c r="C69" s="11" t="str">
        <f>IF(AM69="","RCBO 2P 16A 30mA",IF(AM69&lt;=16,"RCBO 2P 16A 30mA",IF(AM69&lt;=20,"RCBO 2P 20A 30mA",IF(AM69&lt;=25,"RCBO 2P 25A 30mA",IF(AM69&lt;=35,"RCBO 2P 35A 30mA",IF(AM69&lt;=40,"RCBO 2P 40A 30mA",IF(AM69&lt;=50,"RCBO 2P 50A 30mA",IF(AM69&lt;=63,"RCBO 2P 63A 30mA",IF(AM69&lt;=80,"RCBO 2P 80A 30mA",IF(AM69&lt;=100,"RCBO 2P 100A 30mA",IF(AM69&lt;=125,"RCBO 2P 125A 30mA",IF(AM69&lt;=160,"RCBO 2P 160A 30mA",IF(AM69&lt;=200,"RCBO 2P 200A 30mA","RCBO 2P &gt; 200A 30mA")))))))))))))</f>
        <v>RCBO 2P 16A 30mA</v>
      </c>
      <c r="D69" s="12" t="str">
        <f>IF(AM69="","NYY 3C x 4mm2",IF(AM69&lt;=16,"NYY 3C x 4mm2",IF(AM69&lt;=20,"NYY 3C x 4mm2",IF(AM69&lt;=25,"NYY 3C x 4mm2",IF(AM69&lt;=35,"NYY 3C x 6mm2",IF(AM69&lt;=40,"NYY 3C x 6mm2",IF(AM69&lt;=50,"NYY 3C x 10mm2",IF(AM69&lt;=63,"NYY 3C x 16mm2",IF(AM69&lt;=80,"NYY 3C x 25mm2",IF(AM69&lt;=100,"NYY 3C x 25mm2",IF(AM69&lt;=125,"NYY 3C x 35mm2",IF(AM69&lt;=160,"NYY 3C x 50mm2",IF(AM69&lt;=200,"NYY 3C x 70mm2","")))))))))))))</f>
        <v>NYY 3C x 4mm2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>
        <v>1</v>
      </c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4"/>
      <c r="AJ69" s="14">
        <f>SUMPRODUCT(E69:AH69,E$11:AH$11)</f>
        <v>2200</v>
      </c>
      <c r="AK69" s="14"/>
      <c r="AL69" s="12" t="s">
        <v>52</v>
      </c>
      <c r="AM69" s="15">
        <f>SUM(AI69:AK69)/C$7</f>
        <v>10</v>
      </c>
      <c r="AN69" s="11" t="str">
        <f>IF(AM69="","",IF(AM69&lt;=10,"10A",IF(AM69&lt;=16,"16A",IF(AM69&lt;=20,"20A",IF(AM69&lt;=25,"25A",IF(AM69&lt;=35,"35A",IF(AM69&lt;=40,"40A",IF(AM69&lt;=50,"50A",IF(AM69&lt;=63,"63A",IF(AM69&lt;=80,"80A",IF(AM69&lt;=100,"100A",IF(AM69&lt;=125,"125A",IF(AM69&lt;=160,"160A",IF(AM69&lt;=200,"200A","&gt; 200A"))))))))))))))</f>
        <v>10A</v>
      </c>
      <c r="AO69" s="16">
        <f>IF(AM69="",16.1,IF(AM69&lt;=16,16.1,IF(AM69&lt;=20,16.1,IF(AM69&lt;=25,16.1,IF(AM69&lt;=35,17.3,IF(AM69&lt;=40,17.3,IF(AM69&lt;=50,19.4,IF(AM69&lt;=63,22,IF(AM69&lt;=80,25,IF(AM69&lt;=100,25,IF(AM69&lt;=125,27.5,IF(AM69&lt;=160,30,IF(AM69&lt;=200,34,"")))))))))))))</f>
        <v>16.1</v>
      </c>
    </row>
    <row r="70" spans="1:41" x14ac:dyDescent="0.25">
      <c r="A70" s="11">
        <v>59</v>
      </c>
      <c r="B70" s="12" t="s">
        <v>110</v>
      </c>
      <c r="C70" s="11" t="str">
        <f>IF(AM70="","RCBO 2P 16A 30mA",IF(AM70&lt;=16,"RCBO 2P 16A 30mA",IF(AM70&lt;=20,"RCBO 2P 20A 30mA",IF(AM70&lt;=25,"RCBO 2P 25A 30mA",IF(AM70&lt;=35,"RCBO 2P 35A 30mA",IF(AM70&lt;=40,"RCBO 2P 40A 30mA",IF(AM70&lt;=50,"RCBO 2P 50A 30mA",IF(AM70&lt;=63,"RCBO 2P 63A 30mA",IF(AM70&lt;=80,"RCBO 2P 80A 30mA",IF(AM70&lt;=100,"RCBO 2P 100A 30mA",IF(AM70&lt;=125,"RCBO 2P 125A 30mA",IF(AM70&lt;=160,"RCBO 2P 160A 30mA",IF(AM70&lt;=200,"RCBO 2P 200A 30mA","RCBO 2P &gt; 200A 30mA")))))))))))))</f>
        <v>RCBO 2P 16A 30mA</v>
      </c>
      <c r="D70" s="12" t="str">
        <f>IF(AM70="","NYY 3C x 4mm2",IF(AM70&lt;=16,"NYY 3C x 4mm2",IF(AM70&lt;=20,"NYY 3C x 4mm2",IF(AM70&lt;=25,"NYY 3C x 4mm2",IF(AM70&lt;=35,"NYY 3C x 6mm2",IF(AM70&lt;=40,"NYY 3C x 6mm2",IF(AM70&lt;=50,"NYY 3C x 10mm2",IF(AM70&lt;=63,"NYY 3C x 16mm2",IF(AM70&lt;=80,"NYY 3C x 25mm2",IF(AM70&lt;=100,"NYY 3C x 25mm2",IF(AM70&lt;=125,"NYY 3C x 35mm2",IF(AM70&lt;=160,"NYY 3C x 50mm2",IF(AM70&lt;=200,"NYY 3C x 70mm2","")))))))))))))</f>
        <v>NYY 3C x 4mm2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>
        <v>1</v>
      </c>
      <c r="AF70" s="13"/>
      <c r="AG70" s="13"/>
      <c r="AH70" s="13"/>
      <c r="AI70" s="14"/>
      <c r="AJ70" s="14"/>
      <c r="AK70" s="14">
        <f>SUMPRODUCT(E70:AH70,E$11:AH$11)</f>
        <v>1000</v>
      </c>
      <c r="AL70" s="12" t="s">
        <v>52</v>
      </c>
      <c r="AM70" s="15">
        <f>SUM(AI70:AK70)/C$7</f>
        <v>4.55</v>
      </c>
      <c r="AN70" s="11" t="str">
        <f>IF(AM70="","",IF(AM70&lt;=10,"10A",IF(AM70&lt;=16,"16A",IF(AM70&lt;=20,"20A",IF(AM70&lt;=25,"25A",IF(AM70&lt;=35,"35A",IF(AM70&lt;=40,"40A",IF(AM70&lt;=50,"50A",IF(AM70&lt;=63,"63A",IF(AM70&lt;=80,"80A",IF(AM70&lt;=100,"100A",IF(AM70&lt;=125,"125A",IF(AM70&lt;=160,"160A",IF(AM70&lt;=200,"200A","&gt; 200A"))))))))))))))</f>
        <v>10A</v>
      </c>
      <c r="AO70" s="16">
        <f>IF(AM70="",16.1,IF(AM70&lt;=16,16.1,IF(AM70&lt;=20,16.1,IF(AM70&lt;=25,16.1,IF(AM70&lt;=35,17.3,IF(AM70&lt;=40,17.3,IF(AM70&lt;=50,19.4,IF(AM70&lt;=63,22,IF(AM70&lt;=80,25,IF(AM70&lt;=100,25,IF(AM70&lt;=125,27.5,IF(AM70&lt;=160,30,IF(AM70&lt;=200,34,"")))))))))))))</f>
        <v>16.1</v>
      </c>
    </row>
    <row r="71" spans="1:41" x14ac:dyDescent="0.25">
      <c r="A71" s="11">
        <v>60</v>
      </c>
      <c r="B71" s="12" t="s">
        <v>111</v>
      </c>
      <c r="C71" s="11" t="str">
        <f>IF(AM71="","RCBO 2P 16A 30mA",IF(AM71&lt;=16,"RCBO 2P 16A 30mA",IF(AM71&lt;=20,"RCBO 2P 20A 30mA",IF(AM71&lt;=25,"RCBO 2P 25A 30mA",IF(AM71&lt;=35,"RCBO 2P 35A 30mA",IF(AM71&lt;=40,"RCBO 2P 40A 30mA",IF(AM71&lt;=50,"RCBO 2P 50A 30mA",IF(AM71&lt;=63,"RCBO 2P 63A 30mA",IF(AM71&lt;=80,"RCBO 2P 80A 30mA",IF(AM71&lt;=100,"RCBO 2P 100A 30mA",IF(AM71&lt;=125,"RCBO 2P 125A 30mA",IF(AM71&lt;=160,"RCBO 2P 160A 30mA",IF(AM71&lt;=200,"RCBO 2P 200A 30mA","RCBO 2P &gt; 200A 30mA")))))))))))))</f>
        <v>RCBO 2P 16A 30mA</v>
      </c>
      <c r="D71" s="12" t="str">
        <f>IF(AM71="","NYY 3C x 4mm2",IF(AM71&lt;=16,"NYY 3C x 4mm2",IF(AM71&lt;=20,"NYY 3C x 4mm2",IF(AM71&lt;=25,"NYY 3C x 4mm2",IF(AM71&lt;=35,"NYY 3C x 6mm2",IF(AM71&lt;=40,"NYY 3C x 6mm2",IF(AM71&lt;=50,"NYY 3C x 10mm2",IF(AM71&lt;=63,"NYY 3C x 16mm2",IF(AM71&lt;=80,"NYY 3C x 25mm2",IF(AM71&lt;=100,"NYY 3C x 25mm2",IF(AM71&lt;=125,"NYY 3C x 35mm2",IF(AM71&lt;=160,"NYY 3C x 50mm2",IF(AM71&lt;=200,"NYY 3C x 70mm2","")))))))))))))</f>
        <v>NYY 3C x 4mm2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>
        <v>4</v>
      </c>
      <c r="AA71" s="13"/>
      <c r="AB71" s="13"/>
      <c r="AC71" s="13"/>
      <c r="AD71" s="13"/>
      <c r="AE71" s="13"/>
      <c r="AF71" s="13"/>
      <c r="AG71" s="13"/>
      <c r="AH71" s="13"/>
      <c r="AI71" s="14">
        <f>SUMPRODUCT(E71:AH71,E$11:AH$11)</f>
        <v>800</v>
      </c>
      <c r="AJ71" s="14"/>
      <c r="AK71" s="14"/>
      <c r="AL71" s="12" t="s">
        <v>52</v>
      </c>
      <c r="AM71" s="15">
        <f>SUM(AI71:AK71)/C$7</f>
        <v>3.64</v>
      </c>
      <c r="AN71" s="11" t="str">
        <f>IF(AM71="","",IF(AM71&lt;=10,"10A",IF(AM71&lt;=16,"16A",IF(AM71&lt;=20,"20A",IF(AM71&lt;=25,"25A",IF(AM71&lt;=35,"35A",IF(AM71&lt;=40,"40A",IF(AM71&lt;=50,"50A",IF(AM71&lt;=63,"63A",IF(AM71&lt;=80,"80A",IF(AM71&lt;=100,"100A",IF(AM71&lt;=125,"125A",IF(AM71&lt;=160,"160A",IF(AM71&lt;=200,"200A","&gt; 200A"))))))))))))))</f>
        <v>10A</v>
      </c>
      <c r="AO71" s="16">
        <f>IF(AM71="",16.1,IF(AM71&lt;=16,16.1,IF(AM71&lt;=20,16.1,IF(AM71&lt;=25,16.1,IF(AM71&lt;=35,17.3,IF(AM71&lt;=40,17.3,IF(AM71&lt;=50,19.4,IF(AM71&lt;=63,22,IF(AM71&lt;=80,25,IF(AM71&lt;=100,25,IF(AM71&lt;=125,27.5,IF(AM71&lt;=160,30,IF(AM71&lt;=200,34,"")))))))))))))</f>
        <v>16.1</v>
      </c>
    </row>
    <row r="72" spans="1:41" x14ac:dyDescent="0.25">
      <c r="A72" s="11">
        <v>61</v>
      </c>
      <c r="B72" s="12" t="s">
        <v>112</v>
      </c>
      <c r="C72" s="11" t="str">
        <f>IF(AM72="","RCBO 2P 16A 30mA",IF(AM72&lt;=16,"RCBO 2P 16A 30mA",IF(AM72&lt;=20,"RCBO 2P 20A 30mA",IF(AM72&lt;=25,"RCBO 2P 25A 30mA",IF(AM72&lt;=35,"RCBO 2P 35A 30mA",IF(AM72&lt;=40,"RCBO 2P 40A 30mA",IF(AM72&lt;=50,"RCBO 2P 50A 30mA",IF(AM72&lt;=63,"RCBO 2P 63A 30mA",IF(AM72&lt;=80,"RCBO 2P 80A 30mA",IF(AM72&lt;=100,"RCBO 2P 100A 30mA",IF(AM72&lt;=125,"RCBO 2P 125A 30mA",IF(AM72&lt;=160,"RCBO 2P 160A 30mA",IF(AM72&lt;=200,"RCBO 2P 200A 30mA","RCBO 2P &gt; 200A 30mA")))))))))))))</f>
        <v>RCBO 2P 16A 30mA</v>
      </c>
      <c r="D72" s="12" t="str">
        <f>IF(AM72="","NYY 3C x 4mm2",IF(AM72&lt;=16,"NYY 3C x 4mm2",IF(AM72&lt;=20,"NYY 3C x 4mm2",IF(AM72&lt;=25,"NYY 3C x 4mm2",IF(AM72&lt;=35,"NYY 3C x 6mm2",IF(AM72&lt;=40,"NYY 3C x 6mm2",IF(AM72&lt;=50,"NYY 3C x 10mm2",IF(AM72&lt;=63,"NYY 3C x 16mm2",IF(AM72&lt;=80,"NYY 3C x 25mm2",IF(AM72&lt;=100,"NYY 3C x 25mm2",IF(AM72&lt;=125,"NYY 3C x 35mm2",IF(AM72&lt;=160,"NYY 3C x 50mm2",IF(AM72&lt;=200,"NYY 3C x 70mm2","")))))))))))))</f>
        <v>NYY 3C x 4mm2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>
        <v>2</v>
      </c>
      <c r="AC72" s="13"/>
      <c r="AD72" s="13"/>
      <c r="AE72" s="13"/>
      <c r="AF72" s="13"/>
      <c r="AG72" s="13"/>
      <c r="AH72" s="13"/>
      <c r="AI72" s="14"/>
      <c r="AJ72" s="14">
        <f>SUMPRODUCT(E72:AH72,E$11:AH$11)</f>
        <v>400</v>
      </c>
      <c r="AK72" s="14"/>
      <c r="AL72" s="12" t="s">
        <v>52</v>
      </c>
      <c r="AM72" s="15">
        <f>SUM(AI72:AK72)/C$7</f>
        <v>1.82</v>
      </c>
      <c r="AN72" s="11" t="str">
        <f>IF(AM72="","",IF(AM72&lt;=10,"10A",IF(AM72&lt;=16,"16A",IF(AM72&lt;=20,"20A",IF(AM72&lt;=25,"25A",IF(AM72&lt;=35,"35A",IF(AM72&lt;=40,"40A",IF(AM72&lt;=50,"50A",IF(AM72&lt;=63,"63A",IF(AM72&lt;=80,"80A",IF(AM72&lt;=100,"100A",IF(AM72&lt;=125,"125A",IF(AM72&lt;=160,"160A",IF(AM72&lt;=200,"200A","&gt; 200A"))))))))))))))</f>
        <v>10A</v>
      </c>
      <c r="AO72" s="16">
        <f>IF(AM72="",16.1,IF(AM72&lt;=16,16.1,IF(AM72&lt;=20,16.1,IF(AM72&lt;=25,16.1,IF(AM72&lt;=35,17.3,IF(AM72&lt;=40,17.3,IF(AM72&lt;=50,19.4,IF(AM72&lt;=63,22,IF(AM72&lt;=80,25,IF(AM72&lt;=100,25,IF(AM72&lt;=125,27.5,IF(AM72&lt;=160,30,IF(AM72&lt;=200,34,"")))))))))))))</f>
        <v>16.1</v>
      </c>
    </row>
    <row r="73" spans="1:41" x14ac:dyDescent="0.25">
      <c r="A73" s="11">
        <v>62</v>
      </c>
      <c r="B73" s="12" t="s">
        <v>113</v>
      </c>
      <c r="C73" s="11" t="str">
        <f>IF(AM73="","RCBO 2P 16A 30mA",IF(AM73&lt;=16,"RCBO 2P 16A 30mA",IF(AM73&lt;=20,"RCBO 2P 20A 30mA",IF(AM73&lt;=25,"RCBO 2P 25A 30mA",IF(AM73&lt;=35,"RCBO 2P 35A 30mA",IF(AM73&lt;=40,"RCBO 2P 40A 30mA",IF(AM73&lt;=50,"RCBO 2P 50A 30mA",IF(AM73&lt;=63,"RCBO 2P 63A 30mA",IF(AM73&lt;=80,"RCBO 2P 80A 30mA",IF(AM73&lt;=100,"RCBO 2P 100A 30mA",IF(AM73&lt;=125,"RCBO 2P 125A 30mA",IF(AM73&lt;=160,"RCBO 2P 160A 30mA",IF(AM73&lt;=200,"RCBO 2P 200A 30mA","RCBO 2P &gt; 200A 30mA")))))))))))))</f>
        <v>RCBO 2P 16A 30mA</v>
      </c>
      <c r="D73" s="12" t="str">
        <f>IF(AM73="","NYY 3C x 4mm2",IF(AM73&lt;=16,"NYY 3C x 4mm2",IF(AM73&lt;=20,"NYY 3C x 4mm2",IF(AM73&lt;=25,"NYY 3C x 4mm2",IF(AM73&lt;=35,"NYY 3C x 6mm2",IF(AM73&lt;=40,"NYY 3C x 6mm2",IF(AM73&lt;=50,"NYY 3C x 10mm2",IF(AM73&lt;=63,"NYY 3C x 16mm2",IF(AM73&lt;=80,"NYY 3C x 25mm2",IF(AM73&lt;=100,"NYY 3C x 25mm2",IF(AM73&lt;=125,"NYY 3C x 35mm2",IF(AM73&lt;=160,"NYY 3C x 50mm2",IF(AM73&lt;=200,"NYY 3C x 70mm2","")))))))))))))</f>
        <v>NYY 3C x 4mm2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>
        <v>1</v>
      </c>
      <c r="AF73" s="13"/>
      <c r="AG73" s="13"/>
      <c r="AH73" s="13"/>
      <c r="AI73" s="14"/>
      <c r="AJ73" s="14"/>
      <c r="AK73" s="14">
        <f>SUMPRODUCT(E73:AH73,E$11:AH$11)</f>
        <v>1000</v>
      </c>
      <c r="AL73" s="12" t="s">
        <v>52</v>
      </c>
      <c r="AM73" s="15">
        <f>SUM(AI73:AK73)/C$7</f>
        <v>4.55</v>
      </c>
      <c r="AN73" s="11" t="str">
        <f>IF(AM73="","",IF(AM73&lt;=10,"10A",IF(AM73&lt;=16,"16A",IF(AM73&lt;=20,"20A",IF(AM73&lt;=25,"25A",IF(AM73&lt;=35,"35A",IF(AM73&lt;=40,"40A",IF(AM73&lt;=50,"50A",IF(AM73&lt;=63,"63A",IF(AM73&lt;=80,"80A",IF(AM73&lt;=100,"100A",IF(AM73&lt;=125,"125A",IF(AM73&lt;=160,"160A",IF(AM73&lt;=200,"200A","&gt; 200A"))))))))))))))</f>
        <v>10A</v>
      </c>
      <c r="AO73" s="16">
        <f>IF(AM73="",16.1,IF(AM73&lt;=16,16.1,IF(AM73&lt;=20,16.1,IF(AM73&lt;=25,16.1,IF(AM73&lt;=35,17.3,IF(AM73&lt;=40,17.3,IF(AM73&lt;=50,19.4,IF(AM73&lt;=63,22,IF(AM73&lt;=80,25,IF(AM73&lt;=100,25,IF(AM73&lt;=125,27.5,IF(AM73&lt;=160,30,IF(AM73&lt;=200,34,"")))))))))))))</f>
        <v>16.1</v>
      </c>
    </row>
    <row r="74" spans="1:41" x14ac:dyDescent="0.25">
      <c r="A74" s="11">
        <v>63</v>
      </c>
      <c r="B74" s="12" t="s">
        <v>114</v>
      </c>
      <c r="C74" s="11" t="str">
        <f>IF(AM74="","RCBO 2P 16A 30mA",IF(AM74&lt;=16,"RCBO 2P 16A 30mA",IF(AM74&lt;=20,"RCBO 2P 20A 30mA",IF(AM74&lt;=25,"RCBO 2P 25A 30mA",IF(AM74&lt;=35,"RCBO 2P 35A 30mA",IF(AM74&lt;=40,"RCBO 2P 40A 30mA",IF(AM74&lt;=50,"RCBO 2P 50A 30mA",IF(AM74&lt;=63,"RCBO 2P 63A 30mA",IF(AM74&lt;=80,"RCBO 2P 80A 30mA",IF(AM74&lt;=100,"RCBO 2P 100A 30mA",IF(AM74&lt;=125,"RCBO 2P 125A 30mA",IF(AM74&lt;=160,"RCBO 2P 160A 30mA",IF(AM74&lt;=200,"RCBO 2P 200A 30mA","RCBO 2P &gt; 200A 30mA")))))))))))))</f>
        <v>RCBO 2P 16A 30mA</v>
      </c>
      <c r="D74" s="12" t="str">
        <f>IF(AM74="","NYY 3C x 4mm2",IF(AM74&lt;=16,"NYY 3C x 4mm2",IF(AM74&lt;=20,"NYY 3C x 4mm2",IF(AM74&lt;=25,"NYY 3C x 4mm2",IF(AM74&lt;=35,"NYY 3C x 6mm2",IF(AM74&lt;=40,"NYY 3C x 6mm2",IF(AM74&lt;=50,"NYY 3C x 10mm2",IF(AM74&lt;=63,"NYY 3C x 16mm2",IF(AM74&lt;=80,"NYY 3C x 25mm2",IF(AM74&lt;=100,"NYY 3C x 25mm2",IF(AM74&lt;=125,"NYY 3C x 35mm2",IF(AM74&lt;=160,"NYY 3C x 50mm2",IF(AM74&lt;=200,"NYY 3C x 70mm2","")))))))))))))</f>
        <v>NYY 3C x 4mm2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>
        <v>1</v>
      </c>
      <c r="AF74" s="13"/>
      <c r="AG74" s="13"/>
      <c r="AH74" s="13"/>
      <c r="AI74" s="14">
        <f>SUMPRODUCT(E74:AH74,E$11:AH$11)</f>
        <v>1000</v>
      </c>
      <c r="AJ74" s="14"/>
      <c r="AK74" s="14"/>
      <c r="AL74" s="12" t="s">
        <v>52</v>
      </c>
      <c r="AM74" s="15">
        <f>SUM(AI74:AK74)/C$7</f>
        <v>4.55</v>
      </c>
      <c r="AN74" s="11" t="str">
        <f>IF(AM74="","",IF(AM74&lt;=10,"10A",IF(AM74&lt;=16,"16A",IF(AM74&lt;=20,"20A",IF(AM74&lt;=25,"25A",IF(AM74&lt;=35,"35A",IF(AM74&lt;=40,"40A",IF(AM74&lt;=50,"50A",IF(AM74&lt;=63,"63A",IF(AM74&lt;=80,"80A",IF(AM74&lt;=100,"100A",IF(AM74&lt;=125,"125A",IF(AM74&lt;=160,"160A",IF(AM74&lt;=200,"200A","&gt; 200A"))))))))))))))</f>
        <v>10A</v>
      </c>
      <c r="AO74" s="16">
        <f>IF(AM74="",16.1,IF(AM74&lt;=16,16.1,IF(AM74&lt;=20,16.1,IF(AM74&lt;=25,16.1,IF(AM74&lt;=35,17.3,IF(AM74&lt;=40,17.3,IF(AM74&lt;=50,19.4,IF(AM74&lt;=63,22,IF(AM74&lt;=80,25,IF(AM74&lt;=100,25,IF(AM74&lt;=125,27.5,IF(AM74&lt;=160,30,IF(AM74&lt;=200,34,"")))))))))))))</f>
        <v>16.1</v>
      </c>
    </row>
    <row r="75" spans="1:41" x14ac:dyDescent="0.25">
      <c r="A75" s="11">
        <v>64</v>
      </c>
      <c r="B75" s="12" t="s">
        <v>115</v>
      </c>
      <c r="C75" s="11" t="str">
        <f>IF(AM75="","RCBO 2P 16A 30mA",IF(AM75&lt;=16,"RCBO 2P 16A 30mA",IF(AM75&lt;=20,"RCBO 2P 20A 30mA",IF(AM75&lt;=25,"RCBO 2P 25A 30mA",IF(AM75&lt;=35,"RCBO 2P 35A 30mA",IF(AM75&lt;=40,"RCBO 2P 40A 30mA",IF(AM75&lt;=50,"RCBO 2P 50A 30mA",IF(AM75&lt;=63,"RCBO 2P 63A 30mA",IF(AM75&lt;=80,"RCBO 2P 80A 30mA",IF(AM75&lt;=100,"RCBO 2P 100A 30mA",IF(AM75&lt;=125,"RCBO 2P 125A 30mA",IF(AM75&lt;=160,"RCBO 2P 160A 30mA",IF(AM75&lt;=200,"RCBO 2P 200A 30mA","RCBO 2P &gt; 200A 30mA")))))))))))))</f>
        <v>RCBO 2P 16A 30mA</v>
      </c>
      <c r="D75" s="12" t="str">
        <f>IF(AM75="","NYY 3C x 4mm2",IF(AM75&lt;=16,"NYY 3C x 4mm2",IF(AM75&lt;=20,"NYY 3C x 4mm2",IF(AM75&lt;=25,"NYY 3C x 4mm2",IF(AM75&lt;=35,"NYY 3C x 6mm2",IF(AM75&lt;=40,"NYY 3C x 6mm2",IF(AM75&lt;=50,"NYY 3C x 10mm2",IF(AM75&lt;=63,"NYY 3C x 16mm2",IF(AM75&lt;=80,"NYY 3C x 25mm2",IF(AM75&lt;=100,"NYY 3C x 25mm2",IF(AM75&lt;=125,"NYY 3C x 35mm2",IF(AM75&lt;=160,"NYY 3C x 50mm2",IF(AM75&lt;=200,"NYY 3C x 70mm2","")))))))))))))</f>
        <v>NYY 3C x 4mm2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>
        <v>4</v>
      </c>
      <c r="AA75" s="13"/>
      <c r="AB75" s="13"/>
      <c r="AC75" s="13"/>
      <c r="AD75" s="13"/>
      <c r="AE75" s="13"/>
      <c r="AF75" s="13"/>
      <c r="AG75" s="13"/>
      <c r="AH75" s="13"/>
      <c r="AI75" s="14"/>
      <c r="AJ75" s="14">
        <f>SUMPRODUCT(E75:AH75,E$11:AH$11)</f>
        <v>800</v>
      </c>
      <c r="AK75" s="14"/>
      <c r="AL75" s="12" t="s">
        <v>52</v>
      </c>
      <c r="AM75" s="15">
        <f>SUM(AI75:AK75)/C$7</f>
        <v>3.64</v>
      </c>
      <c r="AN75" s="11" t="str">
        <f>IF(AM75="","",IF(AM75&lt;=10,"10A",IF(AM75&lt;=16,"16A",IF(AM75&lt;=20,"20A",IF(AM75&lt;=25,"25A",IF(AM75&lt;=35,"35A",IF(AM75&lt;=40,"40A",IF(AM75&lt;=50,"50A",IF(AM75&lt;=63,"63A",IF(AM75&lt;=80,"80A",IF(AM75&lt;=100,"100A",IF(AM75&lt;=125,"125A",IF(AM75&lt;=160,"160A",IF(AM75&lt;=200,"200A","&gt; 200A"))))))))))))))</f>
        <v>10A</v>
      </c>
      <c r="AO75" s="16">
        <f>IF(AM75="",16.1,IF(AM75&lt;=16,16.1,IF(AM75&lt;=20,16.1,IF(AM75&lt;=25,16.1,IF(AM75&lt;=35,17.3,IF(AM75&lt;=40,17.3,IF(AM75&lt;=50,19.4,IF(AM75&lt;=63,22,IF(AM75&lt;=80,25,IF(AM75&lt;=100,25,IF(AM75&lt;=125,27.5,IF(AM75&lt;=160,30,IF(AM75&lt;=200,34,"")))))))))))))</f>
        <v>16.1</v>
      </c>
    </row>
    <row r="76" spans="1:41" x14ac:dyDescent="0.25">
      <c r="A76" s="11">
        <v>65</v>
      </c>
      <c r="B76" s="12" t="s">
        <v>116</v>
      </c>
      <c r="C76" s="11" t="str">
        <f>IF(AM76="","RCBO 2P 16A 30mA",IF(AM76&lt;=16,"RCBO 2P 16A 30mA",IF(AM76&lt;=20,"RCBO 2P 20A 30mA",IF(AM76&lt;=25,"RCBO 2P 25A 30mA",IF(AM76&lt;=35,"RCBO 2P 35A 30mA",IF(AM76&lt;=40,"RCBO 2P 40A 30mA",IF(AM76&lt;=50,"RCBO 2P 50A 30mA",IF(AM76&lt;=63,"RCBO 2P 63A 30mA",IF(AM76&lt;=80,"RCBO 2P 80A 30mA",IF(AM76&lt;=100,"RCBO 2P 100A 30mA",IF(AM76&lt;=125,"RCBO 2P 125A 30mA",IF(AM76&lt;=160,"RCBO 2P 160A 30mA",IF(AM76&lt;=200,"RCBO 2P 200A 30mA","RCBO 2P &gt; 200A 30mA")))))))))))))</f>
        <v>RCBO 2P 16A 30mA</v>
      </c>
      <c r="D76" s="12" t="str">
        <f>IF(AM76="","NYY 3C x 4mm2",IF(AM76&lt;=16,"NYY 3C x 4mm2",IF(AM76&lt;=20,"NYY 3C x 4mm2",IF(AM76&lt;=25,"NYY 3C x 4mm2",IF(AM76&lt;=35,"NYY 3C x 6mm2",IF(AM76&lt;=40,"NYY 3C x 6mm2",IF(AM76&lt;=50,"NYY 3C x 10mm2",IF(AM76&lt;=63,"NYY 3C x 16mm2",IF(AM76&lt;=80,"NYY 3C x 25mm2",IF(AM76&lt;=100,"NYY 3C x 25mm2",IF(AM76&lt;=125,"NYY 3C x 35mm2",IF(AM76&lt;=160,"NYY 3C x 50mm2",IF(AM76&lt;=200,"NYY 3C x 70mm2","")))))))))))))</f>
        <v>NYY 3C x 4mm2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>
        <v>3</v>
      </c>
      <c r="AA76" s="13"/>
      <c r="AB76" s="13">
        <v>1</v>
      </c>
      <c r="AC76" s="13"/>
      <c r="AD76" s="13"/>
      <c r="AE76" s="13"/>
      <c r="AF76" s="13"/>
      <c r="AG76" s="13"/>
      <c r="AH76" s="13"/>
      <c r="AI76" s="14"/>
      <c r="AJ76" s="14"/>
      <c r="AK76" s="14">
        <f>SUMPRODUCT(E76:AH76,E$11:AH$11)</f>
        <v>800</v>
      </c>
      <c r="AL76" s="12" t="s">
        <v>52</v>
      </c>
      <c r="AM76" s="15">
        <f>SUM(AI76:AK76)/C$7</f>
        <v>3.64</v>
      </c>
      <c r="AN76" s="11" t="str">
        <f>IF(AM76="","",IF(AM76&lt;=10,"10A",IF(AM76&lt;=16,"16A",IF(AM76&lt;=20,"20A",IF(AM76&lt;=25,"25A",IF(AM76&lt;=35,"35A",IF(AM76&lt;=40,"40A",IF(AM76&lt;=50,"50A",IF(AM76&lt;=63,"63A",IF(AM76&lt;=80,"80A",IF(AM76&lt;=100,"100A",IF(AM76&lt;=125,"125A",IF(AM76&lt;=160,"160A",IF(AM76&lt;=200,"200A","&gt; 200A"))))))))))))))</f>
        <v>10A</v>
      </c>
      <c r="AO76" s="16">
        <f>IF(AM76="",16.1,IF(AM76&lt;=16,16.1,IF(AM76&lt;=20,16.1,IF(AM76&lt;=25,16.1,IF(AM76&lt;=35,17.3,IF(AM76&lt;=40,17.3,IF(AM76&lt;=50,19.4,IF(AM76&lt;=63,22,IF(AM76&lt;=80,25,IF(AM76&lt;=100,25,IF(AM76&lt;=125,27.5,IF(AM76&lt;=160,30,IF(AM76&lt;=200,34,"")))))))))))))</f>
        <v>16.1</v>
      </c>
    </row>
    <row r="77" spans="1:41" x14ac:dyDescent="0.25">
      <c r="A77" s="11">
        <v>66</v>
      </c>
      <c r="B77" s="12" t="s">
        <v>117</v>
      </c>
      <c r="C77" s="11" t="str">
        <f>IF(AM77="","RCBO 2P 16A 30mA",IF(AM77&lt;=16,"RCBO 2P 16A 30mA",IF(AM77&lt;=20,"RCBO 2P 20A 30mA",IF(AM77&lt;=25,"RCBO 2P 25A 30mA",IF(AM77&lt;=35,"RCBO 2P 35A 30mA",IF(AM77&lt;=40,"RCBO 2P 40A 30mA",IF(AM77&lt;=50,"RCBO 2P 50A 30mA",IF(AM77&lt;=63,"RCBO 2P 63A 30mA",IF(AM77&lt;=80,"RCBO 2P 80A 30mA",IF(AM77&lt;=100,"RCBO 2P 100A 30mA",IF(AM77&lt;=125,"RCBO 2P 125A 30mA",IF(AM77&lt;=160,"RCBO 2P 160A 30mA",IF(AM77&lt;=200,"RCBO 2P 200A 30mA","RCBO 2P &gt; 200A 30mA")))))))))))))</f>
        <v>RCBO 2P 16A 30mA</v>
      </c>
      <c r="D77" s="12" t="str">
        <f>IF(AM77="","NYY 3C x 4mm2",IF(AM77&lt;=16,"NYY 3C x 4mm2",IF(AM77&lt;=20,"NYY 3C x 4mm2",IF(AM77&lt;=25,"NYY 3C x 4mm2",IF(AM77&lt;=35,"NYY 3C x 6mm2",IF(AM77&lt;=40,"NYY 3C x 6mm2",IF(AM77&lt;=50,"NYY 3C x 10mm2",IF(AM77&lt;=63,"NYY 3C x 16mm2",IF(AM77&lt;=80,"NYY 3C x 25mm2",IF(AM77&lt;=100,"NYY 3C x 25mm2",IF(AM77&lt;=125,"NYY 3C x 35mm2",IF(AM77&lt;=160,"NYY 3C x 50mm2",IF(AM77&lt;=200,"NYY 3C x 70mm2","")))))))))))))</f>
        <v>NYY 3C x 4mm2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>
        <v>2</v>
      </c>
      <c r="AA77" s="13"/>
      <c r="AB77" s="13"/>
      <c r="AC77" s="13"/>
      <c r="AD77" s="13"/>
      <c r="AE77" s="13"/>
      <c r="AF77" s="13"/>
      <c r="AG77" s="13"/>
      <c r="AH77" s="13"/>
      <c r="AI77" s="14">
        <f>SUMPRODUCT(E77:AH77,E$11:AH$11)</f>
        <v>400</v>
      </c>
      <c r="AJ77" s="14"/>
      <c r="AK77" s="14"/>
      <c r="AL77" s="12" t="s">
        <v>52</v>
      </c>
      <c r="AM77" s="15">
        <f>SUM(AI77:AK77)/C$7</f>
        <v>1.82</v>
      </c>
      <c r="AN77" s="11" t="str">
        <f>IF(AM77="","",IF(AM77&lt;=10,"10A",IF(AM77&lt;=16,"16A",IF(AM77&lt;=20,"20A",IF(AM77&lt;=25,"25A",IF(AM77&lt;=35,"35A",IF(AM77&lt;=40,"40A",IF(AM77&lt;=50,"50A",IF(AM77&lt;=63,"63A",IF(AM77&lt;=80,"80A",IF(AM77&lt;=100,"100A",IF(AM77&lt;=125,"125A",IF(AM77&lt;=160,"160A",IF(AM77&lt;=200,"200A","&gt; 200A"))))))))))))))</f>
        <v>10A</v>
      </c>
      <c r="AO77" s="16">
        <f>IF(AM77="",16.1,IF(AM77&lt;=16,16.1,IF(AM77&lt;=20,16.1,IF(AM77&lt;=25,16.1,IF(AM77&lt;=35,17.3,IF(AM77&lt;=40,17.3,IF(AM77&lt;=50,19.4,IF(AM77&lt;=63,22,IF(AM77&lt;=80,25,IF(AM77&lt;=100,25,IF(AM77&lt;=125,27.5,IF(AM77&lt;=160,30,IF(AM77&lt;=200,34,"")))))))))))))</f>
        <v>16.1</v>
      </c>
    </row>
    <row r="78" spans="1:41" x14ac:dyDescent="0.25">
      <c r="A78" s="11">
        <v>67</v>
      </c>
      <c r="B78" s="12" t="s">
        <v>118</v>
      </c>
      <c r="C78" s="11" t="str">
        <f>IF(AM78="","RCBO 2P 16A 30mA",IF(AM78&lt;=16,"RCBO 2P 16A 30mA",IF(AM78&lt;=20,"RCBO 2P 20A 30mA",IF(AM78&lt;=25,"RCBO 2P 25A 30mA",IF(AM78&lt;=35,"RCBO 2P 35A 30mA",IF(AM78&lt;=40,"RCBO 2P 40A 30mA",IF(AM78&lt;=50,"RCBO 2P 50A 30mA",IF(AM78&lt;=63,"RCBO 2P 63A 30mA",IF(AM78&lt;=80,"RCBO 2P 80A 30mA",IF(AM78&lt;=100,"RCBO 2P 100A 30mA",IF(AM78&lt;=125,"RCBO 2P 125A 30mA",IF(AM78&lt;=160,"RCBO 2P 160A 30mA",IF(AM78&lt;=200,"RCBO 2P 200A 30mA","RCBO 2P &gt; 200A 30mA")))))))))))))</f>
        <v>RCBO 2P 16A 30mA</v>
      </c>
      <c r="D78" s="12" t="str">
        <f>IF(AM78="","NYY 3C x 4mm2",IF(AM78&lt;=16,"NYY 3C x 4mm2",IF(AM78&lt;=20,"NYY 3C x 4mm2",IF(AM78&lt;=25,"NYY 3C x 4mm2",IF(AM78&lt;=35,"NYY 3C x 6mm2",IF(AM78&lt;=40,"NYY 3C x 6mm2",IF(AM78&lt;=50,"NYY 3C x 10mm2",IF(AM78&lt;=63,"NYY 3C x 16mm2",IF(AM78&lt;=80,"NYY 3C x 25mm2",IF(AM78&lt;=100,"NYY 3C x 25mm2",IF(AM78&lt;=125,"NYY 3C x 35mm2",IF(AM78&lt;=160,"NYY 3C x 50mm2",IF(AM78&lt;=200,"NYY 3C x 70mm2","")))))))))))))</f>
        <v>NYY 3C x 4mm2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>
        <v>2</v>
      </c>
      <c r="AG78" s="13"/>
      <c r="AH78" s="13"/>
      <c r="AI78" s="14"/>
      <c r="AJ78" s="14">
        <f>SUMPRODUCT(E78:AH78,E$11:AH$11)</f>
        <v>400</v>
      </c>
      <c r="AK78" s="14"/>
      <c r="AL78" s="12" t="s">
        <v>52</v>
      </c>
      <c r="AM78" s="15">
        <f>SUM(AI78:AK78)/C$7</f>
        <v>1.82</v>
      </c>
      <c r="AN78" s="11" t="str">
        <f>IF(AM78="","",IF(AM78&lt;=10,"10A",IF(AM78&lt;=16,"16A",IF(AM78&lt;=20,"20A",IF(AM78&lt;=25,"25A",IF(AM78&lt;=35,"35A",IF(AM78&lt;=40,"40A",IF(AM78&lt;=50,"50A",IF(AM78&lt;=63,"63A",IF(AM78&lt;=80,"80A",IF(AM78&lt;=100,"100A",IF(AM78&lt;=125,"125A",IF(AM78&lt;=160,"160A",IF(AM78&lt;=200,"200A","&gt; 200A"))))))))))))))</f>
        <v>10A</v>
      </c>
      <c r="AO78" s="16">
        <f>IF(AM78="",16.1,IF(AM78&lt;=16,16.1,IF(AM78&lt;=20,16.1,IF(AM78&lt;=25,16.1,IF(AM78&lt;=35,17.3,IF(AM78&lt;=40,17.3,IF(AM78&lt;=50,19.4,IF(AM78&lt;=63,22,IF(AM78&lt;=80,25,IF(AM78&lt;=100,25,IF(AM78&lt;=125,27.5,IF(AM78&lt;=160,30,IF(AM78&lt;=200,34,"")))))))))))))</f>
        <v>16.1</v>
      </c>
    </row>
    <row r="79" spans="1:41" x14ac:dyDescent="0.25">
      <c r="A79" s="11">
        <v>68</v>
      </c>
      <c r="B79" s="12" t="s">
        <v>119</v>
      </c>
      <c r="C79" s="11" t="str">
        <f>IF(AM79="","RCBO 2P 16A 30mA",IF(AM79&lt;=16,"RCBO 2P 16A 30mA",IF(AM79&lt;=20,"RCBO 2P 20A 30mA",IF(AM79&lt;=25,"RCBO 2P 25A 30mA",IF(AM79&lt;=35,"RCBO 2P 35A 30mA",IF(AM79&lt;=40,"RCBO 2P 40A 30mA",IF(AM79&lt;=50,"RCBO 2P 50A 30mA",IF(AM79&lt;=63,"RCBO 2P 63A 30mA",IF(AM79&lt;=80,"RCBO 2P 80A 30mA",IF(AM79&lt;=100,"RCBO 2P 100A 30mA",IF(AM79&lt;=125,"RCBO 2P 125A 30mA",IF(AM79&lt;=160,"RCBO 2P 160A 30mA",IF(AM79&lt;=200,"RCBO 2P 200A 30mA","RCBO 2P &gt; 200A 30mA")))))))))))))</f>
        <v>RCBO 2P 16A 30mA</v>
      </c>
      <c r="D79" s="12" t="str">
        <f>IF(AM79="","NYY 3C x 4mm2",IF(AM79&lt;=16,"NYY 3C x 4mm2",IF(AM79&lt;=20,"NYY 3C x 4mm2",IF(AM79&lt;=25,"NYY 3C x 4mm2",IF(AM79&lt;=35,"NYY 3C x 6mm2",IF(AM79&lt;=40,"NYY 3C x 6mm2",IF(AM79&lt;=50,"NYY 3C x 10mm2",IF(AM79&lt;=63,"NYY 3C x 16mm2",IF(AM79&lt;=80,"NYY 3C x 25mm2",IF(AM79&lt;=100,"NYY 3C x 25mm2",IF(AM79&lt;=125,"NYY 3C x 35mm2",IF(AM79&lt;=160,"NYY 3C x 50mm2",IF(AM79&lt;=200,"NYY 3C x 70mm2","")))))))))))))</f>
        <v>NYY 3C x 4mm2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>
        <v>1</v>
      </c>
      <c r="AA79" s="13"/>
      <c r="AB79" s="13">
        <v>2</v>
      </c>
      <c r="AC79" s="13"/>
      <c r="AD79" s="13"/>
      <c r="AE79" s="13"/>
      <c r="AF79" s="13"/>
      <c r="AG79" s="13"/>
      <c r="AH79" s="13"/>
      <c r="AI79" s="14"/>
      <c r="AJ79" s="14"/>
      <c r="AK79" s="14">
        <f>SUMPRODUCT(E79:AH79,E$11:AH$11)</f>
        <v>600</v>
      </c>
      <c r="AL79" s="12" t="s">
        <v>52</v>
      </c>
      <c r="AM79" s="15">
        <f>SUM(AI79:AK79)/C$7</f>
        <v>2.73</v>
      </c>
      <c r="AN79" s="11" t="str">
        <f>IF(AM79="","",IF(AM79&lt;=10,"10A",IF(AM79&lt;=16,"16A",IF(AM79&lt;=20,"20A",IF(AM79&lt;=25,"25A",IF(AM79&lt;=35,"35A",IF(AM79&lt;=40,"40A",IF(AM79&lt;=50,"50A",IF(AM79&lt;=63,"63A",IF(AM79&lt;=80,"80A",IF(AM79&lt;=100,"100A",IF(AM79&lt;=125,"125A",IF(AM79&lt;=160,"160A",IF(AM79&lt;=200,"200A","&gt; 200A"))))))))))))))</f>
        <v>10A</v>
      </c>
      <c r="AO79" s="16">
        <f>IF(AM79="",16.1,IF(AM79&lt;=16,16.1,IF(AM79&lt;=20,16.1,IF(AM79&lt;=25,16.1,IF(AM79&lt;=35,17.3,IF(AM79&lt;=40,17.3,IF(AM79&lt;=50,19.4,IF(AM79&lt;=63,22,IF(AM79&lt;=80,25,IF(AM79&lt;=100,25,IF(AM79&lt;=125,27.5,IF(AM79&lt;=160,30,IF(AM79&lt;=200,34,"")))))))))))))</f>
        <v>16.1</v>
      </c>
    </row>
    <row r="80" spans="1:41" x14ac:dyDescent="0.25">
      <c r="A80" s="11">
        <v>69</v>
      </c>
      <c r="B80" s="12" t="s">
        <v>120</v>
      </c>
      <c r="C80" s="11" t="str">
        <f>IF(AM80="","RCBO 2P 16A 30mA",IF(AM80&lt;=16,"RCBO 2P 16A 30mA",IF(AM80&lt;=20,"RCBO 2P 20A 30mA",IF(AM80&lt;=25,"RCBO 2P 25A 30mA",IF(AM80&lt;=35,"RCBO 2P 35A 30mA",IF(AM80&lt;=40,"RCBO 2P 40A 30mA",IF(AM80&lt;=50,"RCBO 2P 50A 30mA",IF(AM80&lt;=63,"RCBO 2P 63A 30mA",IF(AM80&lt;=80,"RCBO 2P 80A 30mA",IF(AM80&lt;=100,"RCBO 2P 100A 30mA",IF(AM80&lt;=125,"RCBO 2P 125A 30mA",IF(AM80&lt;=160,"RCBO 2P 160A 30mA",IF(AM80&lt;=200,"RCBO 2P 200A 30mA","RCBO 2P &gt; 200A 30mA")))))))))))))</f>
        <v>RCBO 2P 16A 30mA</v>
      </c>
      <c r="D80" s="12" t="str">
        <f>IF(AM80="","NYY 3C x 4mm2",IF(AM80&lt;=16,"NYY 3C x 4mm2",IF(AM80&lt;=20,"NYY 3C x 4mm2",IF(AM80&lt;=25,"NYY 3C x 4mm2",IF(AM80&lt;=35,"NYY 3C x 6mm2",IF(AM80&lt;=40,"NYY 3C x 6mm2",IF(AM80&lt;=50,"NYY 3C x 10mm2",IF(AM80&lt;=63,"NYY 3C x 16mm2",IF(AM80&lt;=80,"NYY 3C x 25mm2",IF(AM80&lt;=100,"NYY 3C x 25mm2",IF(AM80&lt;=125,"NYY 3C x 35mm2",IF(AM80&lt;=160,"NYY 3C x 50mm2",IF(AM80&lt;=200,"NYY 3C x 70mm2","")))))))))))))</f>
        <v>NYY 3C x 4mm2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>
        <v>6</v>
      </c>
      <c r="AA80" s="13"/>
      <c r="AB80" s="13"/>
      <c r="AC80" s="13"/>
      <c r="AD80" s="13"/>
      <c r="AE80" s="13"/>
      <c r="AF80" s="13"/>
      <c r="AG80" s="13"/>
      <c r="AH80" s="13"/>
      <c r="AI80" s="14">
        <f>SUMPRODUCT(E80:AH80,E$11:AH$11)</f>
        <v>1200</v>
      </c>
      <c r="AJ80" s="14"/>
      <c r="AK80" s="14"/>
      <c r="AL80" s="12" t="s">
        <v>52</v>
      </c>
      <c r="AM80" s="15">
        <f>SUM(AI80:AK80)/C$7</f>
        <v>5.45</v>
      </c>
      <c r="AN80" s="11" t="str">
        <f>IF(AM80="","",IF(AM80&lt;=10,"10A",IF(AM80&lt;=16,"16A",IF(AM80&lt;=20,"20A",IF(AM80&lt;=25,"25A",IF(AM80&lt;=35,"35A",IF(AM80&lt;=40,"40A",IF(AM80&lt;=50,"50A",IF(AM80&lt;=63,"63A",IF(AM80&lt;=80,"80A",IF(AM80&lt;=100,"100A",IF(AM80&lt;=125,"125A",IF(AM80&lt;=160,"160A",IF(AM80&lt;=200,"200A","&gt; 200A"))))))))))))))</f>
        <v>10A</v>
      </c>
      <c r="AO80" s="16">
        <f>IF(AM80="",16.1,IF(AM80&lt;=16,16.1,IF(AM80&lt;=20,16.1,IF(AM80&lt;=25,16.1,IF(AM80&lt;=35,17.3,IF(AM80&lt;=40,17.3,IF(AM80&lt;=50,19.4,IF(AM80&lt;=63,22,IF(AM80&lt;=80,25,IF(AM80&lt;=100,25,IF(AM80&lt;=125,27.5,IF(AM80&lt;=160,30,IF(AM80&lt;=200,34,"")))))))))))))</f>
        <v>16.1</v>
      </c>
    </row>
    <row r="81" spans="1:41" x14ac:dyDescent="0.25">
      <c r="A81" s="11">
        <v>70</v>
      </c>
      <c r="B81" s="12" t="s">
        <v>121</v>
      </c>
      <c r="C81" s="11" t="str">
        <f>IF(AM81="","RCBO 2P 16A 30mA",IF(AM81&lt;=16,"RCBO 2P 16A 30mA",IF(AM81&lt;=20,"RCBO 2P 20A 30mA",IF(AM81&lt;=25,"RCBO 2P 25A 30mA",IF(AM81&lt;=35,"RCBO 2P 35A 30mA",IF(AM81&lt;=40,"RCBO 2P 40A 30mA",IF(AM81&lt;=50,"RCBO 2P 50A 30mA",IF(AM81&lt;=63,"RCBO 2P 63A 30mA",IF(AM81&lt;=80,"RCBO 2P 80A 30mA",IF(AM81&lt;=100,"RCBO 2P 100A 30mA",IF(AM81&lt;=125,"RCBO 2P 125A 30mA",IF(AM81&lt;=160,"RCBO 2P 160A 30mA",IF(AM81&lt;=200,"RCBO 2P 200A 30mA","RCBO 2P &gt; 200A 30mA")))))))))))))</f>
        <v>RCBO 2P 16A 30mA</v>
      </c>
      <c r="D81" s="12" t="str">
        <f>IF(AM81="","NYY 3C x 4mm2",IF(AM81&lt;=16,"NYY 3C x 4mm2",IF(AM81&lt;=20,"NYY 3C x 4mm2",IF(AM81&lt;=25,"NYY 3C x 4mm2",IF(AM81&lt;=35,"NYY 3C x 6mm2",IF(AM81&lt;=40,"NYY 3C x 6mm2",IF(AM81&lt;=50,"NYY 3C x 10mm2",IF(AM81&lt;=63,"NYY 3C x 16mm2",IF(AM81&lt;=80,"NYY 3C x 25mm2",IF(AM81&lt;=100,"NYY 3C x 25mm2",IF(AM81&lt;=125,"NYY 3C x 35mm2",IF(AM81&lt;=160,"NYY 3C x 50mm2",IF(AM81&lt;=200,"NYY 3C x 70mm2","")))))))))))))</f>
        <v>NYY 3C x 4mm2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>
        <v>1</v>
      </c>
      <c r="AC81" s="13"/>
      <c r="AD81" s="13"/>
      <c r="AE81" s="13"/>
      <c r="AF81" s="13"/>
      <c r="AG81" s="13"/>
      <c r="AH81" s="13"/>
      <c r="AI81" s="14"/>
      <c r="AJ81" s="14">
        <f>SUMPRODUCT(E81:AH81,E$11:AH$11)</f>
        <v>200</v>
      </c>
      <c r="AK81" s="14"/>
      <c r="AL81" s="12" t="s">
        <v>52</v>
      </c>
      <c r="AM81" s="15">
        <f>SUM(AI81:AK81)/C$7</f>
        <v>0.91</v>
      </c>
      <c r="AN81" s="11" t="str">
        <f>IF(AM81="","",IF(AM81&lt;=10,"10A",IF(AM81&lt;=16,"16A",IF(AM81&lt;=20,"20A",IF(AM81&lt;=25,"25A",IF(AM81&lt;=35,"35A",IF(AM81&lt;=40,"40A",IF(AM81&lt;=50,"50A",IF(AM81&lt;=63,"63A",IF(AM81&lt;=80,"80A",IF(AM81&lt;=100,"100A",IF(AM81&lt;=125,"125A",IF(AM81&lt;=160,"160A",IF(AM81&lt;=200,"200A","&gt; 200A"))))))))))))))</f>
        <v>10A</v>
      </c>
      <c r="AO81" s="16">
        <f>IF(AM81="",16.1,IF(AM81&lt;=16,16.1,IF(AM81&lt;=20,16.1,IF(AM81&lt;=25,16.1,IF(AM81&lt;=35,17.3,IF(AM81&lt;=40,17.3,IF(AM81&lt;=50,19.4,IF(AM81&lt;=63,22,IF(AM81&lt;=80,25,IF(AM81&lt;=100,25,IF(AM81&lt;=125,27.5,IF(AM81&lt;=160,30,IF(AM81&lt;=200,34,"")))))))))))))</f>
        <v>16.1</v>
      </c>
    </row>
    <row r="82" spans="1:41" x14ac:dyDescent="0.25">
      <c r="A82" s="11">
        <v>71</v>
      </c>
      <c r="B82" s="12" t="s">
        <v>122</v>
      </c>
      <c r="C82" s="11" t="str">
        <f>IF(AM82="","RCBO 2P 16A 30mA",IF(AM82&lt;=16,"RCBO 2P 16A 30mA",IF(AM82&lt;=20,"RCBO 2P 20A 30mA",IF(AM82&lt;=25,"RCBO 2P 25A 30mA",IF(AM82&lt;=35,"RCBO 2P 35A 30mA",IF(AM82&lt;=40,"RCBO 2P 40A 30mA",IF(AM82&lt;=50,"RCBO 2P 50A 30mA",IF(AM82&lt;=63,"RCBO 2P 63A 30mA",IF(AM82&lt;=80,"RCBO 2P 80A 30mA",IF(AM82&lt;=100,"RCBO 2P 100A 30mA",IF(AM82&lt;=125,"RCBO 2P 125A 30mA",IF(AM82&lt;=160,"RCBO 2P 160A 30mA",IF(AM82&lt;=200,"RCBO 2P 200A 30mA","RCBO 2P &gt; 200A 30mA")))))))))))))</f>
        <v>RCBO 2P 16A 30mA</v>
      </c>
      <c r="D82" s="12" t="str">
        <f>IF(AM82="","NYY 3C x 4mm2",IF(AM82&lt;=16,"NYY 3C x 4mm2",IF(AM82&lt;=20,"NYY 3C x 4mm2",IF(AM82&lt;=25,"NYY 3C x 4mm2",IF(AM82&lt;=35,"NYY 3C x 6mm2",IF(AM82&lt;=40,"NYY 3C x 6mm2",IF(AM82&lt;=50,"NYY 3C x 10mm2",IF(AM82&lt;=63,"NYY 3C x 16mm2",IF(AM82&lt;=80,"NYY 3C x 25mm2",IF(AM82&lt;=100,"NYY 3C x 25mm2",IF(AM82&lt;=125,"NYY 3C x 35mm2",IF(AM82&lt;=160,"NYY 3C x 50mm2",IF(AM82&lt;=200,"NYY 3C x 70mm2","")))))))))))))</f>
        <v>NYY 3C x 4mm2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>
        <v>1</v>
      </c>
      <c r="AC82" s="13"/>
      <c r="AD82" s="13"/>
      <c r="AE82" s="13"/>
      <c r="AF82" s="13"/>
      <c r="AG82" s="13"/>
      <c r="AH82" s="13"/>
      <c r="AI82" s="14"/>
      <c r="AJ82" s="14"/>
      <c r="AK82" s="14">
        <f>SUMPRODUCT(E82:AH82,E$11:AH$11)</f>
        <v>200</v>
      </c>
      <c r="AL82" s="12" t="s">
        <v>52</v>
      </c>
      <c r="AM82" s="15">
        <f>SUM(AI82:AK82)/C$7</f>
        <v>0.91</v>
      </c>
      <c r="AN82" s="11" t="str">
        <f>IF(AM82="","",IF(AM82&lt;=10,"10A",IF(AM82&lt;=16,"16A",IF(AM82&lt;=20,"20A",IF(AM82&lt;=25,"25A",IF(AM82&lt;=35,"35A",IF(AM82&lt;=40,"40A",IF(AM82&lt;=50,"50A",IF(AM82&lt;=63,"63A",IF(AM82&lt;=80,"80A",IF(AM82&lt;=100,"100A",IF(AM82&lt;=125,"125A",IF(AM82&lt;=160,"160A",IF(AM82&lt;=200,"200A","&gt; 200A"))))))))))))))</f>
        <v>10A</v>
      </c>
      <c r="AO82" s="16">
        <f>IF(AM82="",16.1,IF(AM82&lt;=16,16.1,IF(AM82&lt;=20,16.1,IF(AM82&lt;=25,16.1,IF(AM82&lt;=35,17.3,IF(AM82&lt;=40,17.3,IF(AM82&lt;=50,19.4,IF(AM82&lt;=63,22,IF(AM82&lt;=80,25,IF(AM82&lt;=100,25,IF(AM82&lt;=125,27.5,IF(AM82&lt;=160,30,IF(AM82&lt;=200,34,"")))))))))))))</f>
        <v>16.1</v>
      </c>
    </row>
    <row r="83" spans="1:41" x14ac:dyDescent="0.25">
      <c r="A83" s="11">
        <v>72</v>
      </c>
      <c r="B83" s="12" t="s">
        <v>123</v>
      </c>
      <c r="C83" s="11" t="str">
        <f>IF(AM83="","RCBO 2P 16A 30mA",IF(AM83&lt;=16,"RCBO 2P 16A 30mA",IF(AM83&lt;=20,"RCBO 2P 20A 30mA",IF(AM83&lt;=25,"RCBO 2P 25A 30mA",IF(AM83&lt;=35,"RCBO 2P 35A 30mA",IF(AM83&lt;=40,"RCBO 2P 40A 30mA",IF(AM83&lt;=50,"RCBO 2P 50A 30mA",IF(AM83&lt;=63,"RCBO 2P 63A 30mA",IF(AM83&lt;=80,"RCBO 2P 80A 30mA",IF(AM83&lt;=100,"RCBO 2P 100A 30mA",IF(AM83&lt;=125,"RCBO 2P 125A 30mA",IF(AM83&lt;=160,"RCBO 2P 160A 30mA",IF(AM83&lt;=200,"RCBO 2P 200A 30mA","RCBO 2P &gt; 200A 30mA")))))))))))))</f>
        <v>RCBO 2P 16A 30mA</v>
      </c>
      <c r="D83" s="12" t="str">
        <f>IF(AM83="","NYY 3C x 4mm2",IF(AM83&lt;=16,"NYY 3C x 4mm2",IF(AM83&lt;=20,"NYY 3C x 4mm2",IF(AM83&lt;=25,"NYY 3C x 4mm2",IF(AM83&lt;=35,"NYY 3C x 6mm2",IF(AM83&lt;=40,"NYY 3C x 6mm2",IF(AM83&lt;=50,"NYY 3C x 10mm2",IF(AM83&lt;=63,"NYY 3C x 16mm2",IF(AM83&lt;=80,"NYY 3C x 25mm2",IF(AM83&lt;=100,"NYY 3C x 25mm2",IF(AM83&lt;=125,"NYY 3C x 35mm2",IF(AM83&lt;=160,"NYY 3C x 50mm2",IF(AM83&lt;=200,"NYY 3C x 70mm2","")))))))))))))</f>
        <v>NYY 3C x 4mm2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4">
        <f>SUMPRODUCT(E83:AH83,E$11:AH$11)</f>
        <v>200</v>
      </c>
      <c r="AJ83" s="14"/>
      <c r="AK83" s="14"/>
      <c r="AL83" s="12" t="s">
        <v>52</v>
      </c>
      <c r="AM83" s="15">
        <f>SUM(AI83:AK83)/C$7</f>
        <v>0.91</v>
      </c>
      <c r="AN83" s="11" t="str">
        <f>IF(AM83="","",IF(AM83&lt;=10,"10A",IF(AM83&lt;=16,"16A",IF(AM83&lt;=20,"20A",IF(AM83&lt;=25,"25A",IF(AM83&lt;=35,"35A",IF(AM83&lt;=40,"40A",IF(AM83&lt;=50,"50A",IF(AM83&lt;=63,"63A",IF(AM83&lt;=80,"80A",IF(AM83&lt;=100,"100A",IF(AM83&lt;=125,"125A",IF(AM83&lt;=160,"160A",IF(AM83&lt;=200,"200A","&gt; 200A"))))))))))))))</f>
        <v>10A</v>
      </c>
      <c r="AO83" s="16">
        <f>IF(AM83="",16.1,IF(AM83&lt;=16,16.1,IF(AM83&lt;=20,16.1,IF(AM83&lt;=25,16.1,IF(AM83&lt;=35,17.3,IF(AM83&lt;=40,17.3,IF(AM83&lt;=50,19.4,IF(AM83&lt;=63,22,IF(AM83&lt;=80,25,IF(AM83&lt;=100,25,IF(AM83&lt;=125,27.5,IF(AM83&lt;=160,30,IF(AM83&lt;=200,34,"")))))))))))))</f>
        <v>16.1</v>
      </c>
    </row>
    <row r="84" spans="1:41" x14ac:dyDescent="0.25">
      <c r="A84" s="11">
        <v>73</v>
      </c>
      <c r="B84" s="12" t="s">
        <v>124</v>
      </c>
      <c r="C84" s="11" t="str">
        <f>IF(AM84="","RCBO 2P 16A 30mA",IF(AM84&lt;=16,"RCBO 2P 16A 30mA",IF(AM84&lt;=20,"RCBO 2P 20A 30mA",IF(AM84&lt;=25,"RCBO 2P 25A 30mA",IF(AM84&lt;=35,"RCBO 2P 35A 30mA",IF(AM84&lt;=40,"RCBO 2P 40A 30mA",IF(AM84&lt;=50,"RCBO 2P 50A 30mA",IF(AM84&lt;=63,"RCBO 2P 63A 30mA",IF(AM84&lt;=80,"RCBO 2P 80A 30mA",IF(AM84&lt;=100,"RCBO 2P 100A 30mA",IF(AM84&lt;=125,"RCBO 2P 125A 30mA",IF(AM84&lt;=160,"RCBO 2P 160A 30mA",IF(AM84&lt;=200,"RCBO 2P 200A 30mA","RCBO 2P &gt; 200A 30mA")))))))))))))</f>
        <v>RCBO 2P 16A 30mA</v>
      </c>
      <c r="D84" s="12" t="str">
        <f>IF(AM84="","NYY 3C x 4mm2",IF(AM84&lt;=16,"NYY 3C x 4mm2",IF(AM84&lt;=20,"NYY 3C x 4mm2",IF(AM84&lt;=25,"NYY 3C x 4mm2",IF(AM84&lt;=35,"NYY 3C x 6mm2",IF(AM84&lt;=40,"NYY 3C x 6mm2",IF(AM84&lt;=50,"NYY 3C x 10mm2",IF(AM84&lt;=63,"NYY 3C x 16mm2",IF(AM84&lt;=80,"NYY 3C x 25mm2",IF(AM84&lt;=100,"NYY 3C x 25mm2",IF(AM84&lt;=125,"NYY 3C x 35mm2",IF(AM84&lt;=160,"NYY 3C x 50mm2",IF(AM84&lt;=200,"NYY 3C x 70mm2","")))))))))))))</f>
        <v>NYY 3C x 4mm2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>
        <v>4</v>
      </c>
      <c r="AB84" s="13"/>
      <c r="AC84" s="13"/>
      <c r="AD84" s="13"/>
      <c r="AE84" s="13"/>
      <c r="AF84" s="13"/>
      <c r="AG84" s="13"/>
      <c r="AH84" s="13"/>
      <c r="AI84" s="14"/>
      <c r="AJ84" s="14">
        <f>SUMPRODUCT(E84:AH84,E$11:AH$11)</f>
        <v>800</v>
      </c>
      <c r="AK84" s="14"/>
      <c r="AL84" s="12" t="s">
        <v>52</v>
      </c>
      <c r="AM84" s="15">
        <f>SUM(AI84:AK84)/C$7</f>
        <v>3.64</v>
      </c>
      <c r="AN84" s="11" t="str">
        <f>IF(AM84="","",IF(AM84&lt;=10,"10A",IF(AM84&lt;=16,"16A",IF(AM84&lt;=20,"20A",IF(AM84&lt;=25,"25A",IF(AM84&lt;=35,"35A",IF(AM84&lt;=40,"40A",IF(AM84&lt;=50,"50A",IF(AM84&lt;=63,"63A",IF(AM84&lt;=80,"80A",IF(AM84&lt;=100,"100A",IF(AM84&lt;=125,"125A",IF(AM84&lt;=160,"160A",IF(AM84&lt;=200,"200A","&gt; 200A"))))))))))))))</f>
        <v>10A</v>
      </c>
      <c r="AO84" s="16">
        <f>IF(AM84="",16.1,IF(AM84&lt;=16,16.1,IF(AM84&lt;=20,16.1,IF(AM84&lt;=25,16.1,IF(AM84&lt;=35,17.3,IF(AM84&lt;=40,17.3,IF(AM84&lt;=50,19.4,IF(AM84&lt;=63,22,IF(AM84&lt;=80,25,IF(AM84&lt;=100,25,IF(AM84&lt;=125,27.5,IF(AM84&lt;=160,30,IF(AM84&lt;=200,34,"")))))))))))))</f>
        <v>16.1</v>
      </c>
    </row>
    <row r="85" spans="1:41" x14ac:dyDescent="0.25">
      <c r="A85" s="11">
        <v>74</v>
      </c>
      <c r="B85" s="12" t="s">
        <v>125</v>
      </c>
      <c r="C85" s="11" t="str">
        <f>IF(AM85="","RCBO 2P 16A 30mA",IF(AM85&lt;=16,"RCBO 2P 16A 30mA",IF(AM85&lt;=20,"RCBO 2P 20A 30mA",IF(AM85&lt;=25,"RCBO 2P 25A 30mA",IF(AM85&lt;=35,"RCBO 2P 35A 30mA",IF(AM85&lt;=40,"RCBO 2P 40A 30mA",IF(AM85&lt;=50,"RCBO 2P 50A 30mA",IF(AM85&lt;=63,"RCBO 2P 63A 30mA",IF(AM85&lt;=80,"RCBO 2P 80A 30mA",IF(AM85&lt;=100,"RCBO 2P 100A 30mA",IF(AM85&lt;=125,"RCBO 2P 125A 30mA",IF(AM85&lt;=160,"RCBO 2P 160A 30mA",IF(AM85&lt;=200,"RCBO 2P 200A 30mA","RCBO 2P &gt; 200A 30mA")))))))))))))</f>
        <v>RCBO 2P 16A 30mA</v>
      </c>
      <c r="D85" s="12" t="str">
        <f>IF(AM85="","NYY 3C x 4mm2",IF(AM85&lt;=16,"NYY 3C x 4mm2",IF(AM85&lt;=20,"NYY 3C x 4mm2",IF(AM85&lt;=25,"NYY 3C x 4mm2",IF(AM85&lt;=35,"NYY 3C x 6mm2",IF(AM85&lt;=40,"NYY 3C x 6mm2",IF(AM85&lt;=50,"NYY 3C x 10mm2",IF(AM85&lt;=63,"NYY 3C x 16mm2",IF(AM85&lt;=80,"NYY 3C x 25mm2",IF(AM85&lt;=100,"NYY 3C x 25mm2",IF(AM85&lt;=125,"NYY 3C x 35mm2",IF(AM85&lt;=160,"NYY 3C x 50mm2",IF(AM85&lt;=200,"NYY 3C x 70mm2","")))))))))))))</f>
        <v>NYY 3C x 4mm2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>
        <v>4</v>
      </c>
      <c r="AB85" s="13"/>
      <c r="AC85" s="13">
        <v>1</v>
      </c>
      <c r="AD85" s="13"/>
      <c r="AE85" s="13"/>
      <c r="AF85" s="13"/>
      <c r="AG85" s="13"/>
      <c r="AH85" s="13"/>
      <c r="AI85" s="14"/>
      <c r="AJ85" s="14"/>
      <c r="AK85" s="14">
        <f>SUMPRODUCT(E85:AH85,E$11:AH$11)</f>
        <v>1000</v>
      </c>
      <c r="AL85" s="12" t="s">
        <v>52</v>
      </c>
      <c r="AM85" s="15">
        <f>SUM(AI85:AK85)/C$7</f>
        <v>4.55</v>
      </c>
      <c r="AN85" s="11" t="str">
        <f>IF(AM85="","",IF(AM85&lt;=10,"10A",IF(AM85&lt;=16,"16A",IF(AM85&lt;=20,"20A",IF(AM85&lt;=25,"25A",IF(AM85&lt;=35,"35A",IF(AM85&lt;=40,"40A",IF(AM85&lt;=50,"50A",IF(AM85&lt;=63,"63A",IF(AM85&lt;=80,"80A",IF(AM85&lt;=100,"100A",IF(AM85&lt;=125,"125A",IF(AM85&lt;=160,"160A",IF(AM85&lt;=200,"200A","&gt; 200A"))))))))))))))</f>
        <v>10A</v>
      </c>
      <c r="AO85" s="16">
        <f>IF(AM85="",16.1,IF(AM85&lt;=16,16.1,IF(AM85&lt;=20,16.1,IF(AM85&lt;=25,16.1,IF(AM85&lt;=35,17.3,IF(AM85&lt;=40,17.3,IF(AM85&lt;=50,19.4,IF(AM85&lt;=63,22,IF(AM85&lt;=80,25,IF(AM85&lt;=100,25,IF(AM85&lt;=125,27.5,IF(AM85&lt;=160,30,IF(AM85&lt;=200,34,"")))))))))))))</f>
        <v>16.1</v>
      </c>
    </row>
    <row r="86" spans="1:41" x14ac:dyDescent="0.25">
      <c r="A86" s="11">
        <v>75</v>
      </c>
      <c r="B86" s="12" t="s">
        <v>126</v>
      </c>
      <c r="C86" s="11" t="str">
        <f>IF(AM86="","RCBO 2P 16A 30mA",IF(AM86&lt;=16,"RCBO 2P 16A 30mA",IF(AM86&lt;=20,"RCBO 2P 20A 30mA",IF(AM86&lt;=25,"RCBO 2P 25A 30mA",IF(AM86&lt;=35,"RCBO 2P 35A 30mA",IF(AM86&lt;=40,"RCBO 2P 40A 30mA",IF(AM86&lt;=50,"RCBO 2P 50A 30mA",IF(AM86&lt;=63,"RCBO 2P 63A 30mA",IF(AM86&lt;=80,"RCBO 2P 80A 30mA",IF(AM86&lt;=100,"RCBO 2P 100A 30mA",IF(AM86&lt;=125,"RCBO 2P 125A 30mA",IF(AM86&lt;=160,"RCBO 2P 160A 30mA",IF(AM86&lt;=200,"RCBO 2P 200A 30mA","RCBO 2P &gt; 200A 30mA")))))))))))))</f>
        <v>RCBO 2P 16A 30mA</v>
      </c>
      <c r="D86" s="12" t="str">
        <f>IF(AM86="","NYY 3C x 4mm2",IF(AM86&lt;=16,"NYY 3C x 4mm2",IF(AM86&lt;=20,"NYY 3C x 4mm2",IF(AM86&lt;=25,"NYY 3C x 4mm2",IF(AM86&lt;=35,"NYY 3C x 6mm2",IF(AM86&lt;=40,"NYY 3C x 6mm2",IF(AM86&lt;=50,"NYY 3C x 10mm2",IF(AM86&lt;=63,"NYY 3C x 16mm2",IF(AM86&lt;=80,"NYY 3C x 25mm2",IF(AM86&lt;=100,"NYY 3C x 25mm2",IF(AM86&lt;=125,"NYY 3C x 35mm2",IF(AM86&lt;=160,"NYY 3C x 50mm2",IF(AM86&lt;=200,"NYY 3C x 70mm2","")))))))))))))</f>
        <v>NYY 3C x 4mm2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>
        <v>3</v>
      </c>
      <c r="AB86" s="13"/>
      <c r="AC86" s="13"/>
      <c r="AD86" s="13"/>
      <c r="AE86" s="13"/>
      <c r="AF86" s="13"/>
      <c r="AG86" s="13"/>
      <c r="AH86" s="13"/>
      <c r="AI86" s="14">
        <f>SUMPRODUCT(E86:AH86,E$11:AH$11)</f>
        <v>600</v>
      </c>
      <c r="AJ86" s="14"/>
      <c r="AK86" s="14"/>
      <c r="AL86" s="12" t="s">
        <v>52</v>
      </c>
      <c r="AM86" s="15">
        <f>SUM(AI86:AK86)/C$7</f>
        <v>2.73</v>
      </c>
      <c r="AN86" s="11" t="str">
        <f>IF(AM86="","",IF(AM86&lt;=10,"10A",IF(AM86&lt;=16,"16A",IF(AM86&lt;=20,"20A",IF(AM86&lt;=25,"25A",IF(AM86&lt;=35,"35A",IF(AM86&lt;=40,"40A",IF(AM86&lt;=50,"50A",IF(AM86&lt;=63,"63A",IF(AM86&lt;=80,"80A",IF(AM86&lt;=100,"100A",IF(AM86&lt;=125,"125A",IF(AM86&lt;=160,"160A",IF(AM86&lt;=200,"200A","&gt; 200A"))))))))))))))</f>
        <v>10A</v>
      </c>
      <c r="AO86" s="16">
        <f>IF(AM86="",16.1,IF(AM86&lt;=16,16.1,IF(AM86&lt;=20,16.1,IF(AM86&lt;=25,16.1,IF(AM86&lt;=35,17.3,IF(AM86&lt;=40,17.3,IF(AM86&lt;=50,19.4,IF(AM86&lt;=63,22,IF(AM86&lt;=80,25,IF(AM86&lt;=100,25,IF(AM86&lt;=125,27.5,IF(AM86&lt;=160,30,IF(AM86&lt;=200,34,"")))))))))))))</f>
        <v>16.1</v>
      </c>
    </row>
    <row r="87" spans="1:41" x14ac:dyDescent="0.25">
      <c r="A87" s="11">
        <v>76</v>
      </c>
      <c r="B87" s="12" t="s">
        <v>127</v>
      </c>
      <c r="C87" s="11" t="str">
        <f>IF(AM87="","RCBO 2P 16A 30mA",IF(AM87&lt;=16,"RCBO 2P 16A 30mA",IF(AM87&lt;=20,"RCBO 2P 20A 30mA",IF(AM87&lt;=25,"RCBO 2P 25A 30mA",IF(AM87&lt;=35,"RCBO 2P 35A 30mA",IF(AM87&lt;=40,"RCBO 2P 40A 30mA",IF(AM87&lt;=50,"RCBO 2P 50A 30mA",IF(AM87&lt;=63,"RCBO 2P 63A 30mA",IF(AM87&lt;=80,"RCBO 2P 80A 30mA",IF(AM87&lt;=100,"RCBO 2P 100A 30mA",IF(AM87&lt;=125,"RCBO 2P 125A 30mA",IF(AM87&lt;=160,"RCBO 2P 160A 30mA",IF(AM87&lt;=200,"RCBO 2P 200A 30mA","RCBO 2P &gt; 200A 30mA")))))))))))))</f>
        <v>RCBO 2P 16A 30mA</v>
      </c>
      <c r="D87" s="12" t="str">
        <f>IF(AM87="","NYY 3C x 4mm2",IF(AM87&lt;=16,"NYY 3C x 4mm2",IF(AM87&lt;=20,"NYY 3C x 4mm2",IF(AM87&lt;=25,"NYY 3C x 4mm2",IF(AM87&lt;=35,"NYY 3C x 6mm2",IF(AM87&lt;=40,"NYY 3C x 6mm2",IF(AM87&lt;=50,"NYY 3C x 10mm2",IF(AM87&lt;=63,"NYY 3C x 16mm2",IF(AM87&lt;=80,"NYY 3C x 25mm2",IF(AM87&lt;=100,"NYY 3C x 25mm2",IF(AM87&lt;=125,"NYY 3C x 35mm2",IF(AM87&lt;=160,"NYY 3C x 50mm2",IF(AM87&lt;=200,"NYY 3C x 70mm2","")))))))))))))</f>
        <v>NYY 3C x 4mm2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>
        <v>6</v>
      </c>
      <c r="AB87" s="13"/>
      <c r="AC87" s="13"/>
      <c r="AD87" s="13"/>
      <c r="AE87" s="13"/>
      <c r="AF87" s="13"/>
      <c r="AG87" s="13"/>
      <c r="AH87" s="13"/>
      <c r="AI87" s="14"/>
      <c r="AJ87" s="14">
        <f>SUMPRODUCT(E87:AH87,E$11:AH$11)</f>
        <v>1200</v>
      </c>
      <c r="AK87" s="14"/>
      <c r="AL87" s="12" t="s">
        <v>52</v>
      </c>
      <c r="AM87" s="15">
        <f>SUM(AI87:AK87)/C$7</f>
        <v>5.45</v>
      </c>
      <c r="AN87" s="11" t="str">
        <f>IF(AM87="","",IF(AM87&lt;=10,"10A",IF(AM87&lt;=16,"16A",IF(AM87&lt;=20,"20A",IF(AM87&lt;=25,"25A",IF(AM87&lt;=35,"35A",IF(AM87&lt;=40,"40A",IF(AM87&lt;=50,"50A",IF(AM87&lt;=63,"63A",IF(AM87&lt;=80,"80A",IF(AM87&lt;=100,"100A",IF(AM87&lt;=125,"125A",IF(AM87&lt;=160,"160A",IF(AM87&lt;=200,"200A","&gt; 200A"))))))))))))))</f>
        <v>10A</v>
      </c>
      <c r="AO87" s="16">
        <f>IF(AM87="",16.1,IF(AM87&lt;=16,16.1,IF(AM87&lt;=20,16.1,IF(AM87&lt;=25,16.1,IF(AM87&lt;=35,17.3,IF(AM87&lt;=40,17.3,IF(AM87&lt;=50,19.4,IF(AM87&lt;=63,22,IF(AM87&lt;=80,25,IF(AM87&lt;=100,25,IF(AM87&lt;=125,27.5,IF(AM87&lt;=160,30,IF(AM87&lt;=200,34,"")))))))))))))</f>
        <v>16.1</v>
      </c>
    </row>
    <row r="88" spans="1:41" x14ac:dyDescent="0.25">
      <c r="A88" s="11">
        <v>77</v>
      </c>
      <c r="B88" s="12" t="s">
        <v>128</v>
      </c>
      <c r="C88" s="11" t="str">
        <f>IF(AM88="","RCBO 2P 16A 30mA",IF(AM88&lt;=16,"RCBO 2P 16A 30mA",IF(AM88&lt;=20,"RCBO 2P 20A 30mA",IF(AM88&lt;=25,"RCBO 2P 25A 30mA",IF(AM88&lt;=35,"RCBO 2P 35A 30mA",IF(AM88&lt;=40,"RCBO 2P 40A 30mA",IF(AM88&lt;=50,"RCBO 2P 50A 30mA",IF(AM88&lt;=63,"RCBO 2P 63A 30mA",IF(AM88&lt;=80,"RCBO 2P 80A 30mA",IF(AM88&lt;=100,"RCBO 2P 100A 30mA",IF(AM88&lt;=125,"RCBO 2P 125A 30mA",IF(AM88&lt;=160,"RCBO 2P 160A 30mA",IF(AM88&lt;=200,"RCBO 2P 200A 30mA","RCBO 2P &gt; 200A 30mA")))))))))))))</f>
        <v>RCBO 2P 16A 30mA</v>
      </c>
      <c r="D88" s="12" t="str">
        <f>IF(AM88="","NYY 3C x 4mm2",IF(AM88&lt;=16,"NYY 3C x 4mm2",IF(AM88&lt;=20,"NYY 3C x 4mm2",IF(AM88&lt;=25,"NYY 3C x 4mm2",IF(AM88&lt;=35,"NYY 3C x 6mm2",IF(AM88&lt;=40,"NYY 3C x 6mm2",IF(AM88&lt;=50,"NYY 3C x 10mm2",IF(AM88&lt;=63,"NYY 3C x 16mm2",IF(AM88&lt;=80,"NYY 3C x 25mm2",IF(AM88&lt;=100,"NYY 3C x 25mm2",IF(AM88&lt;=125,"NYY 3C x 35mm2",IF(AM88&lt;=160,"NYY 3C x 50mm2",IF(AM88&lt;=200,"NYY 3C x 70mm2","")))))))))))))</f>
        <v>NYY 3C x 4mm2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>
        <v>3</v>
      </c>
      <c r="AB88" s="13"/>
      <c r="AC88" s="13"/>
      <c r="AD88" s="13"/>
      <c r="AE88" s="13"/>
      <c r="AF88" s="13"/>
      <c r="AG88" s="13"/>
      <c r="AH88" s="13"/>
      <c r="AI88" s="14"/>
      <c r="AJ88" s="14"/>
      <c r="AK88" s="14">
        <f>SUMPRODUCT(E88:AH88,E$11:AH$11)</f>
        <v>600</v>
      </c>
      <c r="AL88" s="12" t="s">
        <v>52</v>
      </c>
      <c r="AM88" s="15">
        <f>SUM(AI88:AK88)/C$7</f>
        <v>2.73</v>
      </c>
      <c r="AN88" s="11" t="str">
        <f>IF(AM88="","",IF(AM88&lt;=10,"10A",IF(AM88&lt;=16,"16A",IF(AM88&lt;=20,"20A",IF(AM88&lt;=25,"25A",IF(AM88&lt;=35,"35A",IF(AM88&lt;=40,"40A",IF(AM88&lt;=50,"50A",IF(AM88&lt;=63,"63A",IF(AM88&lt;=80,"80A",IF(AM88&lt;=100,"100A",IF(AM88&lt;=125,"125A",IF(AM88&lt;=160,"160A",IF(AM88&lt;=200,"200A","&gt; 200A"))))))))))))))</f>
        <v>10A</v>
      </c>
      <c r="AO88" s="16">
        <f>IF(AM88="",16.1,IF(AM88&lt;=16,16.1,IF(AM88&lt;=20,16.1,IF(AM88&lt;=25,16.1,IF(AM88&lt;=35,17.3,IF(AM88&lt;=40,17.3,IF(AM88&lt;=50,19.4,IF(AM88&lt;=63,22,IF(AM88&lt;=80,25,IF(AM88&lt;=100,25,IF(AM88&lt;=125,27.5,IF(AM88&lt;=160,30,IF(AM88&lt;=200,34,"")))))))))))))</f>
        <v>16.1</v>
      </c>
    </row>
    <row r="89" spans="1:41" x14ac:dyDescent="0.25">
      <c r="A89" s="11">
        <v>78</v>
      </c>
      <c r="B89" s="12" t="s">
        <v>129</v>
      </c>
      <c r="C89" s="11" t="str">
        <f>IF(AM89="","RCBO 2P 16A 30mA",IF(AM89&lt;=16,"RCBO 2P 16A 30mA",IF(AM89&lt;=20,"RCBO 2P 20A 30mA",IF(AM89&lt;=25,"RCBO 2P 25A 30mA",IF(AM89&lt;=35,"RCBO 2P 35A 30mA",IF(AM89&lt;=40,"RCBO 2P 40A 30mA",IF(AM89&lt;=50,"RCBO 2P 50A 30mA",IF(AM89&lt;=63,"RCBO 2P 63A 30mA",IF(AM89&lt;=80,"RCBO 2P 80A 30mA",IF(AM89&lt;=100,"RCBO 2P 100A 30mA",IF(AM89&lt;=125,"RCBO 2P 125A 30mA",IF(AM89&lt;=160,"RCBO 2P 160A 30mA",IF(AM89&lt;=200,"RCBO 2P 200A 30mA","RCBO 2P &gt; 200A 30mA")))))))))))))</f>
        <v>RCBO 2P 16A 30mA</v>
      </c>
      <c r="D89" s="12" t="str">
        <f>IF(AM89="","NYY 3C x 4mm2",IF(AM89&lt;=16,"NYY 3C x 4mm2",IF(AM89&lt;=20,"NYY 3C x 4mm2",IF(AM89&lt;=25,"NYY 3C x 4mm2",IF(AM89&lt;=35,"NYY 3C x 6mm2",IF(AM89&lt;=40,"NYY 3C x 6mm2",IF(AM89&lt;=50,"NYY 3C x 10mm2",IF(AM89&lt;=63,"NYY 3C x 16mm2",IF(AM89&lt;=80,"NYY 3C x 25mm2",IF(AM89&lt;=100,"NYY 3C x 25mm2",IF(AM89&lt;=125,"NYY 3C x 35mm2",IF(AM89&lt;=160,"NYY 3C x 50mm2",IF(AM89&lt;=200,"NYY 3C x 70mm2","")))))))))))))</f>
        <v>NYY 3C x 4mm2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>
        <v>1</v>
      </c>
      <c r="AC89" s="13"/>
      <c r="AD89" s="13"/>
      <c r="AE89" s="13"/>
      <c r="AF89" s="13"/>
      <c r="AG89" s="13"/>
      <c r="AH89" s="13"/>
      <c r="AI89" s="14">
        <f>SUMPRODUCT(E89:AH89,E$11:AH$11)</f>
        <v>200</v>
      </c>
      <c r="AJ89" s="14"/>
      <c r="AK89" s="14"/>
      <c r="AL89" s="12" t="s">
        <v>52</v>
      </c>
      <c r="AM89" s="15">
        <f>SUM(AI89:AK89)/C$7</f>
        <v>0.91</v>
      </c>
      <c r="AN89" s="11" t="str">
        <f>IF(AM89="","",IF(AM89&lt;=10,"10A",IF(AM89&lt;=16,"16A",IF(AM89&lt;=20,"20A",IF(AM89&lt;=25,"25A",IF(AM89&lt;=35,"35A",IF(AM89&lt;=40,"40A",IF(AM89&lt;=50,"50A",IF(AM89&lt;=63,"63A",IF(AM89&lt;=80,"80A",IF(AM89&lt;=100,"100A",IF(AM89&lt;=125,"125A",IF(AM89&lt;=160,"160A",IF(AM89&lt;=200,"200A","&gt; 200A"))))))))))))))</f>
        <v>10A</v>
      </c>
      <c r="AO89" s="16">
        <f>IF(AM89="",16.1,IF(AM89&lt;=16,16.1,IF(AM89&lt;=20,16.1,IF(AM89&lt;=25,16.1,IF(AM89&lt;=35,17.3,IF(AM89&lt;=40,17.3,IF(AM89&lt;=50,19.4,IF(AM89&lt;=63,22,IF(AM89&lt;=80,25,IF(AM89&lt;=100,25,IF(AM89&lt;=125,27.5,IF(AM89&lt;=160,30,IF(AM89&lt;=200,34,"")))))))))))))</f>
        <v>16.1</v>
      </c>
    </row>
    <row r="90" spans="1:41" x14ac:dyDescent="0.25">
      <c r="A90" s="11">
        <v>79</v>
      </c>
      <c r="B90" s="12" t="s">
        <v>130</v>
      </c>
      <c r="C90" s="11" t="str">
        <f>IF(AM90="","RCBO 2P 16A 30mA",IF(AM90&lt;=16,"RCBO 2P 16A 30mA",IF(AM90&lt;=20,"RCBO 2P 20A 30mA",IF(AM90&lt;=25,"RCBO 2P 25A 30mA",IF(AM90&lt;=35,"RCBO 2P 35A 30mA",IF(AM90&lt;=40,"RCBO 2P 40A 30mA",IF(AM90&lt;=50,"RCBO 2P 50A 30mA",IF(AM90&lt;=63,"RCBO 2P 63A 30mA",IF(AM90&lt;=80,"RCBO 2P 80A 30mA",IF(AM90&lt;=100,"RCBO 2P 100A 30mA",IF(AM90&lt;=125,"RCBO 2P 125A 30mA",IF(AM90&lt;=160,"RCBO 2P 160A 30mA",IF(AM90&lt;=200,"RCBO 2P 200A 30mA","RCBO 2P &gt; 200A 30mA")))))))))))))</f>
        <v>RCBO 2P 16A 30mA</v>
      </c>
      <c r="D90" s="12" t="str">
        <f>IF(AM90="","NYY 3C x 4mm2",IF(AM90&lt;=16,"NYY 3C x 4mm2",IF(AM90&lt;=20,"NYY 3C x 4mm2",IF(AM90&lt;=25,"NYY 3C x 4mm2",IF(AM90&lt;=35,"NYY 3C x 6mm2",IF(AM90&lt;=40,"NYY 3C x 6mm2",IF(AM90&lt;=50,"NYY 3C x 10mm2",IF(AM90&lt;=63,"NYY 3C x 16mm2",IF(AM90&lt;=80,"NYY 3C x 25mm2",IF(AM90&lt;=100,"NYY 3C x 25mm2",IF(AM90&lt;=125,"NYY 3C x 35mm2",IF(AM90&lt;=160,"NYY 3C x 50mm2",IF(AM90&lt;=200,"NYY 3C x 70mm2","")))))))))))))</f>
        <v>NYY 3C x 4mm2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>
        <v>1</v>
      </c>
      <c r="AE90" s="13"/>
      <c r="AF90" s="13"/>
      <c r="AG90" s="13"/>
      <c r="AH90" s="13"/>
      <c r="AI90" s="14"/>
      <c r="AJ90" s="14">
        <f>SUMPRODUCT(E90:AH90,E$11:AH$11)</f>
        <v>200</v>
      </c>
      <c r="AK90" s="14"/>
      <c r="AL90" s="12" t="s">
        <v>52</v>
      </c>
      <c r="AM90" s="15">
        <f>SUM(AI90:AK90)/C$7</f>
        <v>0.91</v>
      </c>
      <c r="AN90" s="11" t="str">
        <f>IF(AM90="","",IF(AM90&lt;=10,"10A",IF(AM90&lt;=16,"16A",IF(AM90&lt;=20,"20A",IF(AM90&lt;=25,"25A",IF(AM90&lt;=35,"35A",IF(AM90&lt;=40,"40A",IF(AM90&lt;=50,"50A",IF(AM90&lt;=63,"63A",IF(AM90&lt;=80,"80A",IF(AM90&lt;=100,"100A",IF(AM90&lt;=125,"125A",IF(AM90&lt;=160,"160A",IF(AM90&lt;=200,"200A","&gt; 200A"))))))))))))))</f>
        <v>10A</v>
      </c>
      <c r="AO90" s="16">
        <f>IF(AM90="",16.1,IF(AM90&lt;=16,16.1,IF(AM90&lt;=20,16.1,IF(AM90&lt;=25,16.1,IF(AM90&lt;=35,17.3,IF(AM90&lt;=40,17.3,IF(AM90&lt;=50,19.4,IF(AM90&lt;=63,22,IF(AM90&lt;=80,25,IF(AM90&lt;=100,25,IF(AM90&lt;=125,27.5,IF(AM90&lt;=160,30,IF(AM90&lt;=200,34,"")))))))))))))</f>
        <v>16.1</v>
      </c>
    </row>
    <row r="91" spans="1:41" x14ac:dyDescent="0.25">
      <c r="A91" s="11">
        <v>80</v>
      </c>
      <c r="B91" s="12" t="s">
        <v>131</v>
      </c>
      <c r="C91" s="11" t="str">
        <f>IF(AM91="","RCBO 2P 16A 30mA",IF(AM91&lt;=16,"RCBO 2P 16A 30mA",IF(AM91&lt;=20,"RCBO 2P 20A 30mA",IF(AM91&lt;=25,"RCBO 2P 25A 30mA",IF(AM91&lt;=35,"RCBO 2P 35A 30mA",IF(AM91&lt;=40,"RCBO 2P 40A 30mA",IF(AM91&lt;=50,"RCBO 2P 50A 30mA",IF(AM91&lt;=63,"RCBO 2P 63A 30mA",IF(AM91&lt;=80,"RCBO 2P 80A 30mA",IF(AM91&lt;=100,"RCBO 2P 100A 30mA",IF(AM91&lt;=125,"RCBO 2P 125A 30mA",IF(AM91&lt;=160,"RCBO 2P 160A 30mA",IF(AM91&lt;=200,"RCBO 2P 200A 30mA","RCBO 2P &gt; 200A 30mA")))))))))))))</f>
        <v>RCBO 2P 16A 30mA</v>
      </c>
      <c r="D91" s="12" t="str">
        <f>IF(AM91="","NYY 3C x 4mm2",IF(AM91&lt;=16,"NYY 3C x 4mm2",IF(AM91&lt;=20,"NYY 3C x 4mm2",IF(AM91&lt;=25,"NYY 3C x 4mm2",IF(AM91&lt;=35,"NYY 3C x 6mm2",IF(AM91&lt;=40,"NYY 3C x 6mm2",IF(AM91&lt;=50,"NYY 3C x 10mm2",IF(AM91&lt;=63,"NYY 3C x 16mm2",IF(AM91&lt;=80,"NYY 3C x 25mm2",IF(AM91&lt;=100,"NYY 3C x 25mm2",IF(AM91&lt;=125,"NYY 3C x 35mm2",IF(AM91&lt;=160,"NYY 3C x 50mm2",IF(AM91&lt;=200,"NYY 3C x 70mm2","")))))))))))))</f>
        <v>NYY 3C x 4mm2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>
        <v>1</v>
      </c>
      <c r="AE91" s="13"/>
      <c r="AF91" s="13"/>
      <c r="AG91" s="13"/>
      <c r="AH91" s="13"/>
      <c r="AI91" s="14"/>
      <c r="AJ91" s="14"/>
      <c r="AK91" s="14">
        <f>SUMPRODUCT(E91:AH91,E$11:AH$11)</f>
        <v>200</v>
      </c>
      <c r="AL91" s="12" t="s">
        <v>52</v>
      </c>
      <c r="AM91" s="15">
        <f>SUM(AI91:AK91)/C$7</f>
        <v>0.91</v>
      </c>
      <c r="AN91" s="11" t="str">
        <f>IF(AM91="","",IF(AM91&lt;=10,"10A",IF(AM91&lt;=16,"16A",IF(AM91&lt;=20,"20A",IF(AM91&lt;=25,"25A",IF(AM91&lt;=35,"35A",IF(AM91&lt;=40,"40A",IF(AM91&lt;=50,"50A",IF(AM91&lt;=63,"63A",IF(AM91&lt;=80,"80A",IF(AM91&lt;=100,"100A",IF(AM91&lt;=125,"125A",IF(AM91&lt;=160,"160A",IF(AM91&lt;=200,"200A","&gt; 200A"))))))))))))))</f>
        <v>10A</v>
      </c>
      <c r="AO91" s="16">
        <f>IF(AM91="",16.1,IF(AM91&lt;=16,16.1,IF(AM91&lt;=20,16.1,IF(AM91&lt;=25,16.1,IF(AM91&lt;=35,17.3,IF(AM91&lt;=40,17.3,IF(AM91&lt;=50,19.4,IF(AM91&lt;=63,22,IF(AM91&lt;=80,25,IF(AM91&lt;=100,25,IF(AM91&lt;=125,27.5,IF(AM91&lt;=160,30,IF(AM91&lt;=200,34,"")))))))))))))</f>
        <v>16.1</v>
      </c>
    </row>
    <row r="92" spans="1:41" x14ac:dyDescent="0.25">
      <c r="A92" s="11">
        <v>81</v>
      </c>
      <c r="B92" s="12" t="s">
        <v>132</v>
      </c>
      <c r="C92" s="11" t="str">
        <f>IF(AM92="","RCBO 2P 16A 30mA",IF(AM92&lt;=16,"RCBO 2P 16A 30mA",IF(AM92&lt;=20,"RCBO 2P 20A 30mA",IF(AM92&lt;=25,"RCBO 2P 25A 30mA",IF(AM92&lt;=35,"RCBO 2P 35A 30mA",IF(AM92&lt;=40,"RCBO 2P 40A 30mA",IF(AM92&lt;=50,"RCBO 2P 50A 30mA",IF(AM92&lt;=63,"RCBO 2P 63A 30mA",IF(AM92&lt;=80,"RCBO 2P 80A 30mA",IF(AM92&lt;=100,"RCBO 2P 100A 30mA",IF(AM92&lt;=125,"RCBO 2P 125A 30mA",IF(AM92&lt;=160,"RCBO 2P 160A 30mA",IF(AM92&lt;=200,"RCBO 2P 200A 30mA","RCBO 2P &gt; 200A 30mA")))))))))))))</f>
        <v>RCBO 2P 16A 30mA</v>
      </c>
      <c r="D92" s="12" t="str">
        <f>IF(AM92="","NYY 3C x 4mm2",IF(AM92&lt;=16,"NYY 3C x 4mm2",IF(AM92&lt;=20,"NYY 3C x 4mm2",IF(AM92&lt;=25,"NYY 3C x 4mm2",IF(AM92&lt;=35,"NYY 3C x 6mm2",IF(AM92&lt;=40,"NYY 3C x 6mm2",IF(AM92&lt;=50,"NYY 3C x 10mm2",IF(AM92&lt;=63,"NYY 3C x 16mm2",IF(AM92&lt;=80,"NYY 3C x 25mm2",IF(AM92&lt;=100,"NYY 3C x 25mm2",IF(AM92&lt;=125,"NYY 3C x 35mm2",IF(AM92&lt;=160,"NYY 3C x 50mm2",IF(AM92&lt;=200,"NYY 3C x 70mm2","")))))))))))))</f>
        <v>NYY 3C x 4mm2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>
        <v>1</v>
      </c>
      <c r="AE92" s="13"/>
      <c r="AF92" s="13"/>
      <c r="AG92" s="13"/>
      <c r="AH92" s="13"/>
      <c r="AI92" s="14">
        <f>SUMPRODUCT(E92:AH92,E$11:AH$11)</f>
        <v>200</v>
      </c>
      <c r="AJ92" s="14"/>
      <c r="AK92" s="14"/>
      <c r="AL92" s="12" t="s">
        <v>52</v>
      </c>
      <c r="AM92" s="15">
        <f>SUM(AI92:AK92)/C$7</f>
        <v>0.91</v>
      </c>
      <c r="AN92" s="11" t="str">
        <f>IF(AM92="","",IF(AM92&lt;=10,"10A",IF(AM92&lt;=16,"16A",IF(AM92&lt;=20,"20A",IF(AM92&lt;=25,"25A",IF(AM92&lt;=35,"35A",IF(AM92&lt;=40,"40A",IF(AM92&lt;=50,"50A",IF(AM92&lt;=63,"63A",IF(AM92&lt;=80,"80A",IF(AM92&lt;=100,"100A",IF(AM92&lt;=125,"125A",IF(AM92&lt;=160,"160A",IF(AM92&lt;=200,"200A","&gt; 200A"))))))))))))))</f>
        <v>10A</v>
      </c>
      <c r="AO92" s="16">
        <f>IF(AM92="",16.1,IF(AM92&lt;=16,16.1,IF(AM92&lt;=20,16.1,IF(AM92&lt;=25,16.1,IF(AM92&lt;=35,17.3,IF(AM92&lt;=40,17.3,IF(AM92&lt;=50,19.4,IF(AM92&lt;=63,22,IF(AM92&lt;=80,25,IF(AM92&lt;=100,25,IF(AM92&lt;=125,27.5,IF(AM92&lt;=160,30,IF(AM92&lt;=200,34,"")))))))))))))</f>
        <v>16.1</v>
      </c>
    </row>
    <row r="93" ht="16" customHeight="1" spans="1:41" x14ac:dyDescent="0.25">
      <c r="A93" s="17" t="s">
        <v>133</v>
      </c>
      <c r="B93" s="17"/>
      <c r="C93" s="17"/>
      <c r="D93" s="17"/>
      <c r="E93" s="18">
        <f>SUM(E12:E92)</f>
        <v>14</v>
      </c>
      <c r="F93" s="18">
        <f>SUM(F12:F92)</f>
        <v>6</v>
      </c>
      <c r="G93" s="18">
        <f>SUM(G12:G92)</f>
        <v>11</v>
      </c>
      <c r="H93" s="18">
        <f>SUM(H12:H92)</f>
        <v>4</v>
      </c>
      <c r="I93" s="18">
        <f>SUM(I12:I92)</f>
        <v>1</v>
      </c>
      <c r="J93" s="18">
        <f>SUM(J12:J92)</f>
        <v>2</v>
      </c>
      <c r="K93" s="18">
        <f>SUM(K12:K92)</f>
        <v>10</v>
      </c>
      <c r="L93" s="18">
        <f>SUM(L12:L92)</f>
        <v>1</v>
      </c>
      <c r="M93" s="18">
        <f>SUM(M12:M92)</f>
        <v>12</v>
      </c>
      <c r="N93" s="18">
        <f>SUM(N12:N92)</f>
        <v>163</v>
      </c>
      <c r="O93" s="18">
        <f>SUM(O12:O92)</f>
        <v>47</v>
      </c>
      <c r="P93" s="18">
        <f>SUM(P12:P92)</f>
        <v>4</v>
      </c>
      <c r="Q93" s="18">
        <f>SUM(Q12:Q92)</f>
        <v>2</v>
      </c>
      <c r="R93" s="18">
        <f>SUM(R12:R92)</f>
        <v>1</v>
      </c>
      <c r="S93" s="18">
        <f>SUM(S12:S92)</f>
        <v>1</v>
      </c>
      <c r="T93" s="18">
        <f>SUM(T12:T92)</f>
        <v>29</v>
      </c>
      <c r="U93" s="18">
        <f>SUM(U12:U92)</f>
        <v>11</v>
      </c>
      <c r="V93" s="18">
        <f>SUM(V12:V92)</f>
        <v>13</v>
      </c>
      <c r="W93" s="18">
        <f>SUM(W12:W92)</f>
        <v>11</v>
      </c>
      <c r="X93" s="18">
        <f>SUM(X12:X92)</f>
        <v>8</v>
      </c>
      <c r="Y93" s="18">
        <f>SUM(Y12:Y92)</f>
        <v>2</v>
      </c>
      <c r="Z93" s="18">
        <f>SUM(Z12:Z92)</f>
        <v>20</v>
      </c>
      <c r="AA93" s="18">
        <f>SUM(AA12:AA92)</f>
        <v>20</v>
      </c>
      <c r="AB93" s="18">
        <f>SUM(AB12:AB92)</f>
        <v>9</v>
      </c>
      <c r="AC93" s="18">
        <f>SUM(AC12:AC92)</f>
        <v>1</v>
      </c>
      <c r="AD93" s="18">
        <f>SUM(AD12:AD92)</f>
        <v>3</v>
      </c>
      <c r="AE93" s="18">
        <f>SUM(AE12:AE92)</f>
        <v>3</v>
      </c>
      <c r="AF93" s="18">
        <f>SUM(AF12:AF92)</f>
        <v>2</v>
      </c>
      <c r="AG93" s="18">
        <f>SUM(AG12:AG92)</f>
        <v>10</v>
      </c>
      <c r="AH93" s="18">
        <f>SUM(AH12:AH92)</f>
        <v>1</v>
      </c>
      <c r="AI93" s="19"/>
      <c r="AJ93" s="19"/>
      <c r="AK93" s="19"/>
      <c r="AL93" s="20"/>
      <c r="AM93" s="18"/>
      <c r="AN93" s="18"/>
      <c r="AO93" s="18"/>
    </row>
    <row r="94" ht="16" customHeight="1" spans="1:41" x14ac:dyDescent="0.25">
      <c r="A94" s="17" t="s">
        <v>134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9">
        <f>SUM(AI12:AI92)</f>
        <v>49964.6</v>
      </c>
      <c r="AJ94" s="19">
        <f>SUM(AJ12:AJ92)</f>
        <v>45493.6</v>
      </c>
      <c r="AK94" s="19">
        <f>SUM(AK12:AK92)</f>
        <v>49402.6</v>
      </c>
      <c r="AL94" s="20"/>
      <c r="AM94" s="18"/>
      <c r="AN94" s="18"/>
      <c r="AO94" s="18"/>
    </row>
    <row r="95" ht="16" customHeight="1" spans="1:41" x14ac:dyDescent="0.25">
      <c r="A95" s="17" t="s">
        <v>135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9">
        <f>SUM(AI94:AK94)</f>
        <v>144860.8</v>
      </c>
      <c r="AJ95" s="19"/>
      <c r="AK95" s="19"/>
      <c r="AL95" s="20"/>
      <c r="AM95" s="18"/>
      <c r="AN95" s="18"/>
      <c r="AO95" s="18"/>
    </row>
    <row r="96" ht="16" customHeight="1" spans="1:41" x14ac:dyDescent="0.25">
      <c r="A96" s="17" t="s">
        <v>136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9">
        <f>AI95/C$5</f>
        <v>181076</v>
      </c>
      <c r="AJ96" s="19"/>
      <c r="AK96" s="19"/>
      <c r="AL96" s="20"/>
      <c r="AM96" s="18"/>
      <c r="AN96" s="18"/>
      <c r="AO96" s="18"/>
    </row>
    <row r="97" ht="16" customHeight="1" spans="1:41" x14ac:dyDescent="0.25">
      <c r="A97" s="17" t="s">
        <v>137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9">
        <f>AI96/(SQRT(3)*C$6)</f>
        <v>275.1</v>
      </c>
      <c r="AJ97" s="19"/>
      <c r="AK97" s="19"/>
      <c r="AL97" s="20"/>
      <c r="AM97" s="18"/>
      <c r="AN97" s="18"/>
      <c r="AO97" s="18"/>
    </row>
    <row r="99" spans="1:41" x14ac:dyDescent="0.25">
      <c r="A99" s="21" t="s">
        <v>138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</row>
    <row r="100" spans="1:41" x14ac:dyDescent="0.25">
      <c r="A100" s="22" t="s">
        <v>139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</row>
    <row r="101" spans="1:41" x14ac:dyDescent="0.25">
      <c r="A101" s="22" t="s">
        <v>140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</row>
    <row r="102" spans="1:41" x14ac:dyDescent="0.25">
      <c r="A102" s="22" t="s">
        <v>141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</row>
    <row r="103" spans="1:41" x14ac:dyDescent="0.25">
      <c r="A103" s="22" t="s">
        <v>142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</row>
    <row r="104" spans="1:41" x14ac:dyDescent="0.25">
      <c r="A104" s="22" t="s">
        <v>143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</row>
    <row r="105" spans="1:41" x14ac:dyDescent="0.25">
      <c r="A105" s="22" t="s">
        <v>144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</row>
    <row r="106" spans="1:41" x14ac:dyDescent="0.25">
      <c r="A106" s="22" t="s">
        <v>145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</row>
    <row r="107" spans="1:41" x14ac:dyDescent="0.25">
      <c r="A107" s="22" t="s">
        <v>146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</row>
    <row r="108" spans="1:41" x14ac:dyDescent="0.25">
      <c r="A108" s="22" t="s">
        <v>147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</row>
    <row r="109" spans="1:41" x14ac:dyDescent="0.25">
      <c r="A109" s="22" t="s">
        <v>148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 spans="1:41" x14ac:dyDescent="0.25">
      <c r="A110" s="22" t="s">
        <v>149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</row>
    <row r="111" spans="1:41" x14ac:dyDescent="0.25">
      <c r="A111" s="22" t="s">
        <v>150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</row>
  </sheetData>
  <mergeCells count="39">
    <mergeCell ref="A1:AO1"/>
    <mergeCell ref="A2:AO2"/>
    <mergeCell ref="A3:AO3"/>
    <mergeCell ref="A4:AO4"/>
    <mergeCell ref="A5:B5"/>
    <mergeCell ref="A6:B6"/>
    <mergeCell ref="A7:B7"/>
    <mergeCell ref="E9:AH9"/>
    <mergeCell ref="AI9:AK9"/>
    <mergeCell ref="A9:A10"/>
    <mergeCell ref="B9:B10"/>
    <mergeCell ref="C9:C10"/>
    <mergeCell ref="D9:D10"/>
    <mergeCell ref="AL9:AL10"/>
    <mergeCell ref="AM9:AM10"/>
    <mergeCell ref="AN9:AN10"/>
    <mergeCell ref="AO9:AO10"/>
    <mergeCell ref="A11:D11"/>
    <mergeCell ref="A93:D93"/>
    <mergeCell ref="A94:AH94"/>
    <mergeCell ref="A95:AH95"/>
    <mergeCell ref="AI95:AK95"/>
    <mergeCell ref="A96:AH96"/>
    <mergeCell ref="AI96:AK96"/>
    <mergeCell ref="A97:AH97"/>
    <mergeCell ref="AI97:AK97"/>
    <mergeCell ref="A99:AO99"/>
    <mergeCell ref="A100:AO100"/>
    <mergeCell ref="A101:AO101"/>
    <mergeCell ref="A102:AO102"/>
    <mergeCell ref="A103:AO103"/>
    <mergeCell ref="A104:AO104"/>
    <mergeCell ref="A105:AO105"/>
    <mergeCell ref="A106:AO106"/>
    <mergeCell ref="A107:AO107"/>
    <mergeCell ref="A108:AO108"/>
    <mergeCell ref="A109:AO109"/>
    <mergeCell ref="A110:AO110"/>
    <mergeCell ref="A111:AO111"/>
  </mergeCells>
  <pageMargins left="0.3" right="0.3" top="0.4" bottom="0.4" header="0.2" footer="0.2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DB-RMW-L0-LP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Panel Schedule Web</dc:creator>
  <dc:title/>
  <dc:subject/>
  <dc:description/>
  <cp:keywords/>
  <cp:category/>
  <cp:lastModifiedBy>Unknown</cp:lastModifiedBy>
  <dcterms:created xsi:type="dcterms:W3CDTF">2026-09-08T22:28:36Z</dcterms:created>
  <dcterms:modified xsi:type="dcterms:W3CDTF">2026-09-08T22:28:36Z</dcterms:modified>
</cp:coreProperties>
</file>