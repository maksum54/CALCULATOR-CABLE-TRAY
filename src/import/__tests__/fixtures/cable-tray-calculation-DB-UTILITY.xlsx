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LE DATA (OD)" sheetId="1" state="visible" r:id="rId3"/>
    <sheet name="CABLE SCHEDULE" sheetId="2" state="visible" r:id="rId4"/>
    <sheet name="SUMMARY BY TYPE" sheetId="3" state="visible" r:id="rId5"/>
    <sheet name="TRAY CALCULATION" sheetId="4" state="visible" r:id="rId6"/>
  </sheets>
  <definedNames>
    <definedName function="false" hidden="true" localSheetId="1" name="_xlnm._FilterDatabase" vbProcedure="false">'CABLE SCHEDULE'!$A$5:$N$72</definedName>
    <definedName function="false" hidden="false" name="OD_KODE" vbProcedure="false">'CABLE DATA (OD)'!$A$6:$A$14</definedName>
    <definedName function="false" hidden="false" name="OD_NILAI" vbProcedure="false">'CABLE DATA (OD)'!$C$6:$C$14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<sst xmlns="http://schemas.openxmlformats.org/spreadsheetml/2006/main" count="749" uniqueCount="335">
  <si>
    <t xml:space="preserve">TABEL DIAMETER LUAR KABEL (OUTER DIAMETER / OD)</t>
  </si>
  <si>
    <t xml:space="preserve">Sel kuning = INPUT. Ganti angka OD di kolom C sesuai katalog pabrikan; seluruh workbook ikut ter-update otomatis.</t>
  </si>
  <si>
    <t xml:space="preserve">Nilai di bawah adalah OD TIPIKAL pasaran Indonesia (Supreme/Kabelindo/Kabelmetal) - WAJIB DIVERIFIKASI ke katalog pabrikan sebelum konstruksi.</t>
  </si>
  <si>
    <t xml:space="preserve">KODE TIPE</t>
  </si>
  <si>
    <t xml:space="preserve">DESKRIPSI KABEL</t>
  </si>
  <si>
    <t xml:space="preserve">OD (mm)</t>
  </si>
  <si>
    <t xml:space="preserve">LUAS PENAMPANG (mm2)</t>
  </si>
  <si>
    <t xml:space="preserve">KETERANGAN</t>
  </si>
  <si>
    <t xml:space="preserve">3C-4</t>
  </si>
  <si>
    <t xml:space="preserve">1x3C-4mm2 Cu/XLPE/PVC (N2XY)</t>
  </si>
  <si>
    <t xml:space="preserve">Tipikal N2XY 3x4mm2</t>
  </si>
  <si>
    <t xml:space="preserve">5C-4</t>
  </si>
  <si>
    <t xml:space="preserve">1x5C-4mm2 Cu/XLPE/PVC (N2XY)</t>
  </si>
  <si>
    <t xml:space="preserve">Tipikal N2XY 5x4mm2</t>
  </si>
  <si>
    <t xml:space="preserve">4C-6</t>
  </si>
  <si>
    <t xml:space="preserve">1x4C-6mm2 Cu/XLPE/PVC (N2XY)</t>
  </si>
  <si>
    <t xml:space="preserve">Incoming DB-UTILITY (DEG)</t>
  </si>
  <si>
    <t xml:space="preserve">4C-25</t>
  </si>
  <si>
    <t xml:space="preserve">1x4C-25mm2 Cu/XLPE/PVC (N2XY)</t>
  </si>
  <si>
    <t xml:space="preserve">Incoming DB-HVAC UTILITY / EMERGENCY</t>
  </si>
  <si>
    <t xml:space="preserve">4C-70</t>
  </si>
  <si>
    <t xml:space="preserve">1x4C-70mm2 Cu/XLPE/PVC (N2XY)</t>
  </si>
  <si>
    <t xml:space="preserve">Incoming DB-UTILITY</t>
  </si>
  <si>
    <t xml:space="preserve">1C-6</t>
  </si>
  <si>
    <t xml:space="preserve">1C-6mm2 Cu/PVC G/Y (NYA)</t>
  </si>
  <si>
    <t xml:space="preserve">Pembumian DB-UTILITY (DEG)</t>
  </si>
  <si>
    <t xml:space="preserve">1C-16</t>
  </si>
  <si>
    <t xml:space="preserve">1C-16mm2 Cu/PVC G/Y (NYA)</t>
  </si>
  <si>
    <t xml:space="preserve">Pembumian DB-HVAC UTILITY / EMERGENCY</t>
  </si>
  <si>
    <t xml:space="preserve">1C-35</t>
  </si>
  <si>
    <t xml:space="preserve">1C-35mm2 Cu/PVC G/Y (NYA)</t>
  </si>
  <si>
    <t xml:space="preserve">Pembumian DB-UTILITY</t>
  </si>
  <si>
    <t xml:space="preserve">2C-2.5F</t>
  </si>
  <si>
    <t xml:space="preserve">1x2C-2.5mm2 Cu/MGT/XLPE/LSZH (FRC)</t>
  </si>
  <si>
    <t xml:space="preserve">Kabel fire alarm tahan api</t>
  </si>
  <si>
    <t xml:space="preserve">CABLE SCHEDULE - REKAP SELURUH KABEL DARI 3 GAMBAR PANEL SCHEDULE</t>
  </si>
  <si>
    <t xml:space="preserve">Sumber: MEFLV6001 (DB-UTILITY &amp; DB-UTILITY DEG), MEFLV6002 (DB-HVAC UTILITY), MEFLV6003 (DB-HVAC UTILITY EMERGENCY)</t>
  </si>
  <si>
    <t xml:space="preserve">Kolom OD diambil otomatis dari sheet 'CABLE DATA (OD)' dengan INDEX/MATCH. Baris FUTURE/SPARE tidak diberi OD (jumlah run = 0).</t>
  </si>
  <si>
    <t xml:space="preserve">NO</t>
  </si>
  <si>
    <t xml:space="preserve">GAMBAR</t>
  </si>
  <si>
    <t xml:space="preserve">PANEL</t>
  </si>
  <si>
    <t xml:space="preserve">CIRCUIT No.</t>
  </si>
  <si>
    <t xml:space="preserve">KATEGORI</t>
  </si>
  <si>
    <t xml:space="preserve">SUPPLY FOR SYSTEM</t>
  </si>
  <si>
    <t xml:space="preserve">DAYA (kW)</t>
  </si>
  <si>
    <t xml:space="preserve">JML RUN</t>
  </si>
  <si>
    <t xml:space="preserve">LEBAR TOTAL (mm)</t>
  </si>
  <si>
    <t xml:space="preserve">LUAS TOTAL (mm2)</t>
  </si>
  <si>
    <t xml:space="preserve">CATATAN</t>
  </si>
  <si>
    <t xml:space="preserve">MEFLV6001</t>
  </si>
  <si>
    <t xml:space="preserve">DB-UTILITY</t>
  </si>
  <si>
    <t xml:space="preserve">FA-INTERLOCK</t>
  </si>
  <si>
    <t xml:space="preserve">INCOMING</t>
  </si>
  <si>
    <t xml:space="preserve">FIRE ALARM INTERLOCK</t>
  </si>
  <si>
    <t xml:space="preserve">Interlock fire alarm - tray terpisah</t>
  </si>
  <si>
    <t xml:space="preserve">FEEDER PANEL</t>
  </si>
  <si>
    <t xml:space="preserve">1x4C-70mm2 Cu/XLPE/PVC</t>
  </si>
  <si>
    <t xml:space="preserve">Feeder utama (Pact 65.52 kW), in cable tray/trunking. Daya diisi 0 agar total kW tidak dobel dgn outgoing.</t>
  </si>
  <si>
    <t xml:space="preserve">INCOMING-E</t>
  </si>
  <si>
    <t xml:space="preserve">1C-35mm2 Cu/PVC G/Y</t>
  </si>
  <si>
    <t xml:space="preserve">Pembumian feeder utama</t>
  </si>
  <si>
    <t xml:space="preserve">DB-UTILTY-01</t>
  </si>
  <si>
    <t xml:space="preserve">OUTGOING</t>
  </si>
  <si>
    <t xml:space="preserve">LIGHTING (F)/1</t>
  </si>
  <si>
    <t xml:space="preserve">1x3C-4mm2 Cu/XLPE/PVC INCLUDING (E)</t>
  </si>
  <si>
    <t xml:space="preserve">DB-UTILTY-02</t>
  </si>
  <si>
    <t xml:space="preserve">LIGHTING (F)/2</t>
  </si>
  <si>
    <t xml:space="preserve">DB-UTILTY-03</t>
  </si>
  <si>
    <t xml:space="preserve">LIGHTING (F)/3</t>
  </si>
  <si>
    <t xml:space="preserve">DB-UTILTY-04</t>
  </si>
  <si>
    <t xml:space="preserve">LIGHTING (F)/4</t>
  </si>
  <si>
    <t xml:space="preserve">DB-UTILTY-05</t>
  </si>
  <si>
    <t xml:space="preserve">LIGHTING (F)/5</t>
  </si>
  <si>
    <t xml:space="preserve">DB-UTILTY-06</t>
  </si>
  <si>
    <t xml:space="preserve">LIGHTING (F)/6</t>
  </si>
  <si>
    <t xml:space="preserve">DB-UTILTY-07</t>
  </si>
  <si>
    <t xml:space="preserve">EXIT LIGHTING (F)/7</t>
  </si>
  <si>
    <t xml:space="preserve">DB-UTILTY-08</t>
  </si>
  <si>
    <t xml:space="preserve">EM. LIGHTING (F)/8</t>
  </si>
  <si>
    <t xml:space="preserve">DB-UTILTY-09</t>
  </si>
  <si>
    <t xml:space="preserve">RECEPTACLE (F)/9</t>
  </si>
  <si>
    <t xml:space="preserve">DB-UTILTY-10</t>
  </si>
  <si>
    <t xml:space="preserve">RECEPTACLE (F)/10</t>
  </si>
  <si>
    <t xml:space="preserve">DB-UTILTY-11</t>
  </si>
  <si>
    <t xml:space="preserve">FOR SHUTTER DOOR (F)/11</t>
  </si>
  <si>
    <t xml:space="preserve">DB-UTILTY-12</t>
  </si>
  <si>
    <t xml:space="preserve">RECEPTACLE (F)/12,13,14</t>
  </si>
  <si>
    <t xml:space="preserve">DB-UTILTY-13</t>
  </si>
  <si>
    <t xml:space="preserve">FOR SHUTTER DOOR (F)/15</t>
  </si>
  <si>
    <t xml:space="preserve">DB-UTILTY-14</t>
  </si>
  <si>
    <t xml:space="preserve">RECEPTACLE (F)/16,17,18</t>
  </si>
  <si>
    <t xml:space="preserve">1x5C-4mm2 Cu/XLPE/PVC INCLUDING (E)</t>
  </si>
  <si>
    <t xml:space="preserve">DB-UTILTY-15</t>
  </si>
  <si>
    <t xml:space="preserve">RECEPTACLE (F)/19</t>
  </si>
  <si>
    <t xml:space="preserve">DB-UTILTY-16</t>
  </si>
  <si>
    <t xml:space="preserve">RECEPTACLE (F)/20</t>
  </si>
  <si>
    <t xml:space="preserve">DB-UTILTY-17</t>
  </si>
  <si>
    <t xml:space="preserve">RECEPTACLE (F)/21</t>
  </si>
  <si>
    <t xml:space="preserve">DB-UTILTY-18</t>
  </si>
  <si>
    <t xml:space="preserve">RECEPTACLE (F)/22</t>
  </si>
  <si>
    <t xml:space="preserve">DB-UTILTY-19</t>
  </si>
  <si>
    <t xml:space="preserve">RECEPTACLE (F)/23,24,25</t>
  </si>
  <si>
    <t xml:space="preserve">DB-UTILTY-20</t>
  </si>
  <si>
    <t xml:space="preserve">FOR SHUTTER DOOR (F)/26</t>
  </si>
  <si>
    <t xml:space="preserve">DB-UTILTY-21</t>
  </si>
  <si>
    <t xml:space="preserve">RECEPTACLE (F)/27,28,29</t>
  </si>
  <si>
    <t xml:space="preserve">DB-UTILTY-22</t>
  </si>
  <si>
    <t xml:space="preserve">FOR SHUTTER DOOR (F)/30</t>
  </si>
  <si>
    <t xml:space="preserve">DB-UTILTY-23</t>
  </si>
  <si>
    <t xml:space="preserve">RECEPTACLE (F)/31</t>
  </si>
  <si>
    <t xml:space="preserve">DB-UTILTY-24</t>
  </si>
  <si>
    <t xml:space="preserve">RECEPTACLE (F)/32</t>
  </si>
  <si>
    <t xml:space="preserve">DB-UTILTY-25</t>
  </si>
  <si>
    <t xml:space="preserve">RECEPTACLE (F)/33</t>
  </si>
  <si>
    <t xml:space="preserve">DB-UTILTY-26</t>
  </si>
  <si>
    <t xml:space="preserve">FOR SHUTTER DOOR (F)/34</t>
  </si>
  <si>
    <t xml:space="preserve">DB-UTILTY-27</t>
  </si>
  <si>
    <t xml:space="preserve">SPARE / FUTURE</t>
  </si>
  <si>
    <t xml:space="preserve">FUTURE</t>
  </si>
  <si>
    <t xml:space="preserve">Circuit FUTURE/SPARE - belum ada kabel</t>
  </si>
  <si>
    <t xml:space="preserve">DB-UTILTY-28</t>
  </si>
  <si>
    <t xml:space="preserve">DB-UTILTY-29</t>
  </si>
  <si>
    <t xml:space="preserve">DB-UTILITY (DEG)</t>
  </si>
  <si>
    <t xml:space="preserve">1x4C-6mm2 Cu/XLPE/PVC</t>
  </si>
  <si>
    <t xml:space="preserve">Feeder dari DEG (Pact 7.99 kW). Daya diisi 0 agar total kW tidak dobel.</t>
  </si>
  <si>
    <t xml:space="preserve">1C-6mm2 Cu/PVC G/Y</t>
  </si>
  <si>
    <t xml:space="preserve">Pembumian feeder DEG</t>
  </si>
  <si>
    <t xml:space="preserve">DB-UTILTY-30</t>
  </si>
  <si>
    <t xml:space="preserve">RECEPTACLE (F)/35</t>
  </si>
  <si>
    <t xml:space="preserve">DB-UTILTY-31</t>
  </si>
  <si>
    <t xml:space="preserve">RECEPTACLE (F)/36</t>
  </si>
  <si>
    <t xml:space="preserve">DB-UTILTY-32</t>
  </si>
  <si>
    <t xml:space="preserve">RECEPTACLE (F)/37 FIRE ALARM</t>
  </si>
  <si>
    <t xml:space="preserve">DB-UTILTY-33</t>
  </si>
  <si>
    <t xml:space="preserve">RECEPTACLE (F)/38 PUBLIC ADDRESS</t>
  </si>
  <si>
    <t xml:space="preserve">DB-UTILTY-34</t>
  </si>
  <si>
    <t xml:space="preserve">RECEPTACLE (F)/39 CCTV</t>
  </si>
  <si>
    <t xml:space="preserve">DB-UTILTY-35</t>
  </si>
  <si>
    <t xml:space="preserve">RECEPTACLE (F)/40</t>
  </si>
  <si>
    <t xml:space="preserve">DB-UTILTY-36</t>
  </si>
  <si>
    <t xml:space="preserve">DB-UTILTY-37</t>
  </si>
  <si>
    <t xml:space="preserve">DB-UTILTY-38</t>
  </si>
  <si>
    <t xml:space="preserve">MEFLV6002</t>
  </si>
  <si>
    <t xml:space="preserve">DB-HVAC UTILITY</t>
  </si>
  <si>
    <t xml:space="preserve">1x4C-25mm2 Cu/XLPE/PVC</t>
  </si>
  <si>
    <t xml:space="preserve">Feeder utama (Pact 36.24 kW), in cable tray/trunking. Daya diisi 0 agar total kW tidak dobel.</t>
  </si>
  <si>
    <t xml:space="preserve">1C-16mm2 Cu/PVC G/Y</t>
  </si>
  <si>
    <t xml:space="preserve">Pembumian feeder</t>
  </si>
  <si>
    <t xml:space="preserve">DB-HVAC-01</t>
  </si>
  <si>
    <t xml:space="preserve">IU F-001 WORKSHOP (F-005)</t>
  </si>
  <si>
    <t xml:space="preserve">DB-HVAC-02</t>
  </si>
  <si>
    <t xml:space="preserve">IU F-101 OFFICE (F-101)</t>
  </si>
  <si>
    <t xml:space="preserve">DB-HVAC-03</t>
  </si>
  <si>
    <t xml:space="preserve">IU F-102 SUPERVISOR RM (F-102)</t>
  </si>
  <si>
    <t xml:space="preserve">DB-HVAC-04</t>
  </si>
  <si>
    <t xml:space="preserve">IU F-103 MANAGER RM (F-103)</t>
  </si>
  <si>
    <t xml:space="preserve">DB-HVAC-05</t>
  </si>
  <si>
    <t xml:space="preserve">OU F-001 MMY-MUP1201T8(J)P</t>
  </si>
  <si>
    <t xml:space="preserve">DB-HVAC-06</t>
  </si>
  <si>
    <t xml:space="preserve">EF F 001.01 NH3 PLANT (F-004)</t>
  </si>
  <si>
    <t xml:space="preserve">DB-HVAC-07</t>
  </si>
  <si>
    <t xml:space="preserve">EF F 002 STEAM PLANT (F-005)</t>
  </si>
  <si>
    <t xml:space="preserve">DB-HVAC-08</t>
  </si>
  <si>
    <t xml:space="preserve">EF F 003 WATER TREAT. (F-006)</t>
  </si>
  <si>
    <t xml:space="preserve">DB-HVAC-09</t>
  </si>
  <si>
    <t xml:space="preserve">EF F 005 CHEMICAL ROOM (F-007)</t>
  </si>
  <si>
    <t xml:space="preserve">DB-HVAC-10</t>
  </si>
  <si>
    <t xml:space="preserve">EF F 006 Archetype Cambodia Ltd. JANITOR &amp; TOILETS (F-006,7,</t>
  </si>
  <si>
    <t xml:space="preserve">DB-HVAC-11</t>
  </si>
  <si>
    <t xml:space="preserve">DB-HVAC-12</t>
  </si>
  <si>
    <t xml:space="preserve">DB-HVAC-13</t>
  </si>
  <si>
    <t xml:space="preserve">MEFLV6003</t>
  </si>
  <si>
    <t xml:space="preserve">DB-HVAC UTILITY EMERGENCY</t>
  </si>
  <si>
    <t xml:space="preserve">Feeder utama (Pact 28.66 kW), in cable tray/trunking. Daya diisi 0 agar total kW tidak dobel.</t>
  </si>
  <si>
    <t xml:space="preserve">DB-HVAC-EMG-1</t>
  </si>
  <si>
    <t xml:space="preserve">EF F 001.02 NH3 PLANT (F-004)</t>
  </si>
  <si>
    <t xml:space="preserve">DB-HVAC-EMG-2</t>
  </si>
  <si>
    <t xml:space="preserve">EF F 001.03 NH3 PLANT (F-004)</t>
  </si>
  <si>
    <t xml:space="preserve">DB-HVAC-EMG-3</t>
  </si>
  <si>
    <t xml:space="preserve">EF F 004.02 CO2+COMPR. AIR (F-002)</t>
  </si>
  <si>
    <t xml:space="preserve">DB-HVAC-EMG-4</t>
  </si>
  <si>
    <t xml:space="preserve">DB-HVAC-EMG-5</t>
  </si>
  <si>
    <t xml:space="preserve">DB-HVAC-EMG-6</t>
  </si>
  <si>
    <t xml:space="preserve">TOTAL</t>
  </si>
  <si>
    <t xml:space="preserve">REKAPITULASI KABEL</t>
  </si>
  <si>
    <t xml:space="preserve">A. REKAP PER TIPE KABEL</t>
  </si>
  <si>
    <t xml:space="preserve">% THD LEBAR</t>
  </si>
  <si>
    <t xml:space="preserve">B. REKAP PER PANEL</t>
  </si>
  <si>
    <t xml:space="preserve">JML CIRCUIT</t>
  </si>
  <si>
    <t xml:space="preserve">TOTAL DAYA (kW)</t>
  </si>
  <si>
    <t xml:space="preserve">PERHITUNGAN UKURAN &amp; JUMLAH JALUR CABLE TRAY</t>
  </si>
  <si>
    <t xml:space="preserve">Proyek: Panel Schedule DB-UTILITY / DB-HVAC UTILITY / DB-HVAC UTILITY EMERGENCY  |  Sel KUNING = input yang boleh diubah</t>
  </si>
  <si>
    <t xml:space="preserve">A.  PARAMETER PERHITUNGAN  (INPUT - SEL KUNING)</t>
  </si>
  <si>
    <t xml:space="preserve">A1</t>
  </si>
  <si>
    <t xml:space="preserve">Faktor spare / cadangan pengembangan</t>
  </si>
  <si>
    <t xml:space="preserve">-</t>
  </si>
  <si>
    <t xml:space="preserve">Praktik umum 20-30%. Menyediakan ruang untuk penambahan kabel di kemudian hari.</t>
  </si>
  <si>
    <t xml:space="preserve">A2</t>
  </si>
  <si>
    <t xml:space="preserve">Faktor jarak antar kabel</t>
  </si>
  <si>
    <t xml:space="preserve">1.00 = kabel bersentuhan rapat. 1.10 = ada jarak 10% untuk pendinginan &amp; kerapian.</t>
  </si>
  <si>
    <t xml:space="preserve">A3</t>
  </si>
  <si>
    <t xml:space="preserve">Tinggi / kedalaman tray</t>
  </si>
  <si>
    <t xml:space="preserve">mm</t>
  </si>
  <si>
    <t xml:space="preserve">Standar pasaran: 50 / 100 / 150 mm.</t>
  </si>
  <si>
    <t xml:space="preserve">A4</t>
  </si>
  <si>
    <t xml:space="preserve">Maksimum fill ratio (rasio pengisian)</t>
  </si>
  <si>
    <t xml:space="preserve">Batas umum 40% luas penampang tray (NEC 392 / praktik industri).</t>
  </si>
  <si>
    <t xml:space="preserve">A5</t>
  </si>
  <si>
    <t xml:space="preserve">Jumlah layer / susunan kabel</t>
  </si>
  <si>
    <t xml:space="preserve">layer</t>
  </si>
  <si>
    <t xml:space="preserve">1 layer = single layer (disarankan). &gt;1 layer WAJIB koreksi KHA (derating).</t>
  </si>
  <si>
    <t xml:space="preserve">A6</t>
  </si>
  <si>
    <t xml:space="preserve">Lebar tray standar yang dipilih</t>
  </si>
  <si>
    <t xml:space="preserve">Lebar tray yang akan dipakai di lapangan. Lihat tabel alternatif di blok F.</t>
  </si>
  <si>
    <t xml:space="preserve">B.  REKAP DATA KABEL  (otomatis dari sheet CABLE SCHEDULE)</t>
  </si>
  <si>
    <t xml:space="preserve">B1</t>
  </si>
  <si>
    <t xml:space="preserve">Jumlah baris circuit / feeder terdata</t>
  </si>
  <si>
    <t xml:space="preserve">baris</t>
  </si>
  <si>
    <t xml:space="preserve">Termasuk incoming, pembumian, FRC, dan circuit FUTURE.</t>
  </si>
  <si>
    <t xml:space="preserve">B2</t>
  </si>
  <si>
    <t xml:space="preserve">Jumlah RUN kabel aktif (Σ jumlah run)</t>
  </si>
  <si>
    <t xml:space="preserve">run</t>
  </si>
  <si>
    <t xml:space="preserve">Circuit FUTURE/SPARE = 0 run (belum ada kabel).</t>
  </si>
  <si>
    <t xml:space="preserve">B3</t>
  </si>
  <si>
    <t xml:space="preserve">Total lebar kabel  Σ OD</t>
  </si>
  <si>
    <t xml:space="preserve">Σ (OD x jumlah run) seluruh kabel.</t>
  </si>
  <si>
    <t xml:space="preserve">B4</t>
  </si>
  <si>
    <t xml:space="preserve">Total luas penampang kabel  Σ A</t>
  </si>
  <si>
    <t xml:space="preserve">mm2</t>
  </si>
  <si>
    <t xml:space="preserve">Σ (π/4 x OD² x jumlah run) seluruh kabel.</t>
  </si>
  <si>
    <t xml:space="preserve">B5</t>
  </si>
  <si>
    <t xml:space="preserve">Total daya terpasang</t>
  </si>
  <si>
    <t xml:space="preserve">kW</t>
  </si>
  <si>
    <t xml:space="preserve">Jumlah daya seluruh panel (referensi, tidak dipakai dalam sizing tray).</t>
  </si>
  <si>
    <t xml:space="preserve">C.  METODE 1 - PENJUMLAHAN DIAMETER (Σ OD)</t>
  </si>
  <si>
    <t xml:space="preserve">Rumus:  W1 = Σ OD  x  faktor jarak  x  (1 + faktor spare)  /  jumlah layer</t>
  </si>
  <si>
    <t xml:space="preserve">C1</t>
  </si>
  <si>
    <t xml:space="preserve">Σ OD seluruh kabel</t>
  </si>
  <si>
    <t xml:space="preserve">Dari B3.</t>
  </si>
  <si>
    <t xml:space="preserve">C2</t>
  </si>
  <si>
    <t xml:space="preserve">Setelah faktor jarak antar kabel</t>
  </si>
  <si>
    <t xml:space="preserve">C1 x A2.</t>
  </si>
  <si>
    <t xml:space="preserve">C3</t>
  </si>
  <si>
    <t xml:space="preserve">Setelah faktor spare</t>
  </si>
  <si>
    <t xml:space="preserve">C2 x (1 + A1).</t>
  </si>
  <si>
    <t xml:space="preserve">C4</t>
  </si>
  <si>
    <t xml:space="preserve">LEBAR TRAY DIBUTUHKAN - METODE 1</t>
  </si>
  <si>
    <t xml:space="preserve">C3 dibagi jumlah layer (A5).</t>
  </si>
  <si>
    <t xml:space="preserve">D.  METODE 2 - FILL RATIO / LUAS PENAMPANG</t>
  </si>
  <si>
    <t xml:space="preserve">Rumus:  W2 = Σ A  x  (1 + faktor spare)  /  fill ratio  /  tinggi tray  /  jumlah layer</t>
  </si>
  <si>
    <t xml:space="preserve">D1</t>
  </si>
  <si>
    <t xml:space="preserve">Σ A (luas penampang seluruh kabel)</t>
  </si>
  <si>
    <t xml:space="preserve">Dari B4.</t>
  </si>
  <si>
    <t xml:space="preserve">D2</t>
  </si>
  <si>
    <t xml:space="preserve">D1 x (1 + A1).</t>
  </si>
  <si>
    <t xml:space="preserve">D3</t>
  </si>
  <si>
    <t xml:space="preserve">Luas tray minimum (setelah fill ratio)</t>
  </si>
  <si>
    <t xml:space="preserve">D2 dibagi fill ratio maksimum (A4).</t>
  </si>
  <si>
    <t xml:space="preserve">D4</t>
  </si>
  <si>
    <t xml:space="preserve">LEBAR TRAY DIBUTUHKAN - METODE 2</t>
  </si>
  <si>
    <t xml:space="preserve">D3 dibagi tinggi tray (A3) dan jumlah layer (A5).</t>
  </si>
  <si>
    <t xml:space="preserve">E.  HASIL AKHIR &amp; PENGECEKAN</t>
  </si>
  <si>
    <t xml:space="preserve">E1</t>
  </si>
  <si>
    <t xml:space="preserve">LEBAR TRAY DIBUTUHKAN (menentukan)</t>
  </si>
  <si>
    <t xml:space="preserve">Diambil nilai TERBESAR antara Metode 1 (C4) dan Metode 2 (D4).</t>
  </si>
  <si>
    <t xml:space="preserve">E2</t>
  </si>
  <si>
    <t xml:space="preserve">Metode yang menentukan</t>
  </si>
  <si>
    <t xml:space="preserve">Untuk susunan 1 layer, Metode 1 hampir selalu menentukan.</t>
  </si>
  <si>
    <t xml:space="preserve">E3</t>
  </si>
  <si>
    <t xml:space="preserve">Lebar tray standar dipilih</t>
  </si>
  <si>
    <t xml:space="preserve">Dari A6.</t>
  </si>
  <si>
    <t xml:space="preserve">E4</t>
  </si>
  <si>
    <t xml:space="preserve">JUMLAH JALUR TRAY DIBUTUHKAN</t>
  </si>
  <si>
    <t xml:space="preserve">jalur</t>
  </si>
  <si>
    <t xml:space="preserve">Lebar dibutuhkan (E1) dibagi lebar tray dipilih (A6), dibulatkan ke atas.</t>
  </si>
  <si>
    <t xml:space="preserve">E5</t>
  </si>
  <si>
    <t xml:space="preserve">Total lebar tray terpasang</t>
  </si>
  <si>
    <t xml:space="preserve">Jumlah jalur (E4) x lebar tray (A6).</t>
  </si>
  <si>
    <t xml:space="preserve">E6</t>
  </si>
  <si>
    <t xml:space="preserve">Luas tray tersedia</t>
  </si>
  <si>
    <t xml:space="preserve">Jumlah jalur x lebar x tinggi x jumlah layer.</t>
  </si>
  <si>
    <t xml:space="preserve">E7</t>
  </si>
  <si>
    <t xml:space="preserve">FILL RATIO AKTUAL</t>
  </si>
  <si>
    <t xml:space="preserve">Σ A kabel (B4) dibagi luas tray tersedia (E6).</t>
  </si>
  <si>
    <t xml:space="preserve">E8</t>
  </si>
  <si>
    <t xml:space="preserve">CEK TERHADAP BATAS FILL RATIO</t>
  </si>
  <si>
    <t xml:space="preserve">Fill aktual harus &lt;= fill ratio maksimum (A4).</t>
  </si>
  <si>
    <t xml:space="preserve">E9</t>
  </si>
  <si>
    <t xml:space="preserve">Okupansi lebar aktual (Σ OD / lebar terpasang)</t>
  </si>
  <si>
    <t xml:space="preserve">Berapa persen lebar tray benar-benar tertutup kabel (belum termasuk spare).</t>
  </si>
  <si>
    <t xml:space="preserve">F.  TABEL ALTERNATIF LEBAR TRAY STANDAR x JUMLAH LAYER</t>
  </si>
  <si>
    <t xml:space="preserve">Jumlah jalur = ROUNDUP( lebar dibutuhkan / lebar tray / layer , 0 ).  Lebar dibutuhkan mengikuti parameter blok A kecuali jumlah layer.</t>
  </si>
  <si>
    <t xml:space="preserve">LEBAR TRAY (mm)</t>
  </si>
  <si>
    <t xml:space="preserve">LEBAR DIBUTUHKAN (mm)</t>
  </si>
  <si>
    <t xml:space="preserve">JALUR - 1 LAYER</t>
  </si>
  <si>
    <t xml:space="preserve">JALUR - 2 LAYER</t>
  </si>
  <si>
    <t xml:space="preserve">JALUR - 3 LAYER</t>
  </si>
  <si>
    <t xml:space="preserve">FILL AKTUAL 1 LAYER</t>
  </si>
  <si>
    <t xml:space="preserve">CEK 1 LAYER</t>
  </si>
  <si>
    <t xml:space="preserve">G.  PERHITUNGAN PER PANEL  (bila rute tray dipisah per panel)</t>
  </si>
  <si>
    <t xml:space="preserve">Dipakai jika kabel tiap panel TIDAK digabung dalam satu rute tray. Parameter mengikuti blok A.</t>
  </si>
  <si>
    <t xml:space="preserve">Σ OD (mm)</t>
  </si>
  <si>
    <t xml:space="preserve">Σ A (mm2)</t>
  </si>
  <si>
    <t xml:space="preserve">JALUR (lebar A6)</t>
  </si>
  <si>
    <t xml:space="preserve">FILL AKTUAL</t>
  </si>
  <si>
    <t xml:space="preserve">CEK</t>
  </si>
  <si>
    <t xml:space="preserve">TOTAL (rute digabung)</t>
  </si>
  <si>
    <t xml:space="preserve">&lt;- kolom H = total jalur bila rute DIPISAH per panel</t>
  </si>
  <si>
    <t xml:space="preserve">H.  CATATAN &amp; ASUMSI (WAJIB DIBACA)</t>
  </si>
  <si>
    <t xml:space="preserve">Sumber gambar</t>
  </si>
  <si>
    <t xml:space="preserve">MEFLV6001 - PANEL SCHEDULE DB-UTILITY (berisi 2 panel: DB-UTILITY dan DB-UTILITY FROM DEG); MEFLV6002 - PANEL SCHEDULE DB-HVAC UTILITY; MEFLV6003 - PANEL SCHEDULE DB-HVAC UTILITY EMERGENCY.</t>
  </si>
  <si>
    <t xml:space="preserve">Jumlah circuit</t>
  </si>
  <si>
    <t xml:space="preserve">Total 57 circuit outgoing terekstrak (DB-UTILTY-01 s/d -29 = DB-UTILITY; DB-UTILTY-30 s/d -38 = DB-UTILITY DEG; DB-HVAC-01 s/d -13; DB-HVAC-EMG-1 s/d -6), ditambah 10 baris incoming/pembumian/FRC = 67 baris.</t>
  </si>
  <si>
    <t xml:space="preserve">Circuit FUTURE / SPARE</t>
  </si>
  <si>
    <t xml:space="preserve">12 circuit berstatus FUTURE/SPARE (DB-UTILTY-27,28,29,36,37,38; DB-HVAC-11,12,13; DB-HVAC-EMG-4,5,6) belum memiliki kabel sehingga jumlah run = 0. Kebutuhan ruangnya ditutup oleh faktor spare 30% pada blok A1.</t>
  </si>
  <si>
    <t xml:space="preserve">Verifikasi ekstraksi</t>
  </si>
  <si>
    <t xml:space="preserve">Total daya hasil ekstraksi per panel dicocokkan dengan nilai Pt pada gambar: DB-UTILITY 60.67 vs Pt 60.66 kW; DB-UTILITY (DEG) 7.40 vs Pt 7.40 kW; DB-HVAC UTILITY 33.56 vs Pt 33.56 kW; DB-HVAC UTILITY EMERGENCY 26.54 vs Pt 26.50 kW. Selisih &lt; 0.05 kW = pembulatan pada gambar.</t>
  </si>
  <si>
    <t xml:space="preserve">Daya incoming</t>
  </si>
  <si>
    <t xml:space="preserve">Baris INCOMING diisi daya 0 kW agar total tidak dobel dengan outgoing. Pact tiap panel: DB-UTILITY 65.52 kW; DEG 7.99 kW; DB-HVAC UTILITY 36.24 kW; DB-HVAC UTILITY EMERGENCY 28.66 kW (setelah Ku 0.9 + spare 20%).</t>
  </si>
  <si>
    <t xml:space="preserve">Nilai OD</t>
  </si>
  <si>
    <t xml:space="preserve">OD pada sheet CABLE DATA (OD) masih NILAI TIPIKAL pasaran Indonesia. WAJIB DIVERIFIKASI ke katalog pabrikan (Supreme / Kabelindo / Kabelmetal) sebelum dipakai untuk konstruksi. Ganti angka di sel kuning, seluruh perhitungan ikut ter-update.</t>
  </si>
  <si>
    <t xml:space="preserve">Panjang rute TIDAK dihitung</t>
  </si>
  <si>
    <t xml:space="preserve">Perhitungan ini menghasilkan LEBAR dan JUMLAH JALUR tray, BUKAN volume/panjang material tray. Untuk BQ material (panjang tray, elbow, tee, support, hanger) diperlukan gambar denah / layout rute tray.</t>
  </si>
  <si>
    <t xml:space="preserve">Asumsi rute gabungan</t>
  </si>
  <si>
    <t xml:space="preserve">Blok C, D, dan E mengasumsikan SELURUH kabel dari 3 gambar melewati SATU rute tray (kondisi paling berat). Bila rute dipisah per panel, gunakan blok G.</t>
  </si>
  <si>
    <t xml:space="preserve">Kabel FRC fire alarm</t>
  </si>
  <si>
    <t xml:space="preserve">Kabel 1x2C-2.5mm2 Cu/MGT/XLPE/LSZH (FRC) untuk interlock fire alarm HARUS dipisahkan tray-nya atau diberi sekat (barrier) dari kabel daya, sesuai persyaratan sistem proteksi kebakaran.</t>
  </si>
  <si>
    <t xml:space="preserve">Susunan lebih dari 1 layer</t>
  </si>
  <si>
    <t xml:space="preserve">Bila jumlah layer &gt; 1, WAJIB diterapkan faktor koreksi grouping sesuai PUIL 2011 / IEC 60364-5-52 terhadap KHA kabel. Perhitungan ini hanya menghitung ruang fisik, bukan derating arus.</t>
  </si>
  <si>
    <t xml:space="preserve">Fill ratio rendah pada 1 layer</t>
  </si>
  <si>
    <t xml:space="preserve">Untuk susunan 1 layer, Metode 1 (Σ OD) hampir selalu menentukan dan fill ratio aktual keluar rendah (sekitar 10%). Ini BENAR, bukan kesalahan hitung - tray 1 layer memang tidak diisi sampai 40% luas.</t>
  </si>
  <si>
    <t xml:space="preserve">Kabel pembumian</t>
  </si>
  <si>
    <t xml:space="preserve">Kabel pembumian G/Y (1C-35mm2, 1C-16mm2, 1C-6mm2) dihitung sebagai run terpisah karena diletakkan berdampingan dengan kabel feeder di dalam tray.</t>
  </si>
  <si>
    <t xml:space="preserve">Daya</t>
  </si>
  <si>
    <t xml:space="preserve">Kolom daya (kW) hanya sebagai referensi identifikasi beban; tidak dipakai dalam perhitungan ukuran tray.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</si>
</sst>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.000"/>
    <numFmt numFmtId="167" formatCode="General"/>
    <numFmt numFmtId="168" formatCode="0.0%"/>
    <numFmt numFmtId="169" formatCode="0%"/>
    <numFmt numFmtId="170" formatCode="0.00"/>
    <numFmt numFmtId="171" formatCode="0"/>
    <numFmt numFmtId="172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v>13.5</v>
      </c>
      <c r="D6" s="8" t="n">
        <f aca="false">PI()/4*C6^2</f>
        <v>143.138815279185</v>
      </c>
      <c r="E6" s="9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7" t="n">
        <v>16</v>
      </c>
      <c r="D7" s="8" t="n">
        <f aca="false">PI()/4*C7^2</f>
        <v>201.061929829747</v>
      </c>
      <c r="E7" s="9" t="s">
        <v>13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n">
        <v>16</v>
      </c>
      <c r="D8" s="8" t="n">
        <f aca="false">PI()/4*C8^2</f>
        <v>201.061929829747</v>
      </c>
      <c r="E8" s="9" t="s">
        <v>16</v>
      </c>
    </row>
    <row r="9" customFormat="false" ht="15" hidden="false" customHeight="false" outlineLevel="0" collapsed="false">
      <c r="A9" s="5" t="s">
        <v>17</v>
      </c>
      <c r="B9" s="6" t="s">
        <v>18</v>
      </c>
      <c r="C9" s="7" t="n">
        <v>27.5</v>
      </c>
      <c r="D9" s="8" t="n">
        <f aca="false">PI()/4*C9^2</f>
        <v>593.95736106932</v>
      </c>
      <c r="E9" s="9" t="s">
        <v>19</v>
      </c>
    </row>
    <row r="10" customFormat="false" ht="15" hidden="false" customHeight="false" outlineLevel="0" collapsed="false">
      <c r="A10" s="5" t="s">
        <v>20</v>
      </c>
      <c r="B10" s="6" t="s">
        <v>21</v>
      </c>
      <c r="C10" s="7" t="n">
        <v>34</v>
      </c>
      <c r="D10" s="8" t="n">
        <f aca="false">PI()/4*C10^2</f>
        <v>907.92027688745</v>
      </c>
      <c r="E10" s="9" t="s">
        <v>22</v>
      </c>
    </row>
    <row r="11" customFormat="false" ht="15" hidden="false" customHeight="false" outlineLevel="0" collapsed="false">
      <c r="A11" s="5" t="s">
        <v>23</v>
      </c>
      <c r="B11" s="6" t="s">
        <v>24</v>
      </c>
      <c r="C11" s="7" t="n">
        <v>5.5</v>
      </c>
      <c r="D11" s="8" t="n">
        <f aca="false">PI()/4*C11^2</f>
        <v>23.7582944427728</v>
      </c>
      <c r="E11" s="9" t="s">
        <v>25</v>
      </c>
    </row>
    <row r="12" customFormat="false" ht="15" hidden="false" customHeight="false" outlineLevel="0" collapsed="false">
      <c r="A12" s="5" t="s">
        <v>26</v>
      </c>
      <c r="B12" s="6" t="s">
        <v>27</v>
      </c>
      <c r="C12" s="7" t="n">
        <v>8</v>
      </c>
      <c r="D12" s="8" t="n">
        <f aca="false">PI()/4*C12^2</f>
        <v>50.2654824574367</v>
      </c>
      <c r="E12" s="9" t="s">
        <v>28</v>
      </c>
    </row>
    <row r="13" customFormat="false" ht="15" hidden="false" customHeight="false" outlineLevel="0" collapsed="false">
      <c r="A13" s="5" t="s">
        <v>29</v>
      </c>
      <c r="B13" s="6" t="s">
        <v>30</v>
      </c>
      <c r="C13" s="7" t="n">
        <v>11</v>
      </c>
      <c r="D13" s="8" t="n">
        <f aca="false">PI()/4*C13^2</f>
        <v>95.0331777710913</v>
      </c>
      <c r="E13" s="9" t="s">
        <v>31</v>
      </c>
    </row>
    <row r="14" customFormat="false" ht="15" hidden="false" customHeight="false" outlineLevel="0" collapsed="false">
      <c r="A14" s="5" t="s">
        <v>32</v>
      </c>
      <c r="B14" s="6" t="s">
        <v>33</v>
      </c>
      <c r="C14" s="7" t="n">
        <v>11</v>
      </c>
      <c r="D14" s="8" t="n">
        <f aca="false">PI()/4*C14^2</f>
        <v>95.0331777710913</v>
      </c>
      <c r="E14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3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3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2" t="s">
        <v>37</v>
      </c>
    </row>
    <row r="5" customFormat="false" ht="39.55" hidden="false" customHeight="false" outlineLevel="0" collapsed="false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</v>
      </c>
      <c r="I5" s="4" t="s">
        <v>3</v>
      </c>
      <c r="J5" s="4" t="s">
        <v>45</v>
      </c>
      <c r="K5" s="4" t="s">
        <v>5</v>
      </c>
      <c r="L5" s="4" t="s">
        <v>46</v>
      </c>
      <c r="M5" s="4" t="s">
        <v>47</v>
      </c>
      <c r="N5" s="4" t="s">
        <v>48</v>
      </c>
    </row>
    <row r="6" customFormat="false" ht="26.85" hidden="false" customHeight="false" outlineLevel="0" collapsed="false">
      <c r="A6" s="10" t="n">
        <v>1</v>
      </c>
      <c r="B6" s="10" t="s">
        <v>49</v>
      </c>
      <c r="C6" s="11" t="s">
        <v>50</v>
      </c>
      <c r="D6" s="10" t="s">
        <v>51</v>
      </c>
      <c r="E6" s="10" t="s">
        <v>52</v>
      </c>
      <c r="F6" s="11" t="s">
        <v>53</v>
      </c>
      <c r="G6" s="12" t="n">
        <v>0</v>
      </c>
      <c r="H6" s="11" t="s">
        <v>33</v>
      </c>
      <c r="I6" s="10" t="s">
        <v>32</v>
      </c>
      <c r="J6" s="10" t="n">
        <v>1</v>
      </c>
      <c r="K6" s="13" t="n">
        <f aca="false">INDEX(OD_NILAI,MATCH(I6,OD_KODE,0))</f>
        <v>11</v>
      </c>
      <c r="L6" s="14" t="n">
        <f aca="false">J6*K6</f>
        <v>11</v>
      </c>
      <c r="M6" s="14" t="n">
        <f aca="false">J6*PI()/4*K6^2</f>
        <v>95.0331777710913</v>
      </c>
      <c r="N6" s="15" t="s">
        <v>54</v>
      </c>
    </row>
    <row r="7" customFormat="false" ht="26.85" hidden="false" customHeight="false" outlineLevel="0" collapsed="false">
      <c r="A7" s="10" t="n">
        <v>2</v>
      </c>
      <c r="B7" s="10" t="s">
        <v>49</v>
      </c>
      <c r="C7" s="11" t="s">
        <v>50</v>
      </c>
      <c r="D7" s="10" t="s">
        <v>52</v>
      </c>
      <c r="E7" s="10" t="s">
        <v>52</v>
      </c>
      <c r="F7" s="11" t="s">
        <v>55</v>
      </c>
      <c r="G7" s="12" t="n">
        <v>0</v>
      </c>
      <c r="H7" s="11" t="s">
        <v>56</v>
      </c>
      <c r="I7" s="10" t="s">
        <v>20</v>
      </c>
      <c r="J7" s="10" t="n">
        <v>1</v>
      </c>
      <c r="K7" s="13" t="n">
        <f aca="false">INDEX(OD_NILAI,MATCH(I7,OD_KODE,0))</f>
        <v>34</v>
      </c>
      <c r="L7" s="14" t="n">
        <f aca="false">J7*K7</f>
        <v>34</v>
      </c>
      <c r="M7" s="14" t="n">
        <f aca="false">J7*PI()/4*K7^2</f>
        <v>907.92027688745</v>
      </c>
      <c r="N7" s="15" t="s">
        <v>57</v>
      </c>
    </row>
    <row r="8" customFormat="false" ht="26.85" hidden="false" customHeight="false" outlineLevel="0" collapsed="false">
      <c r="A8" s="10" t="n">
        <v>3</v>
      </c>
      <c r="B8" s="10" t="s">
        <v>49</v>
      </c>
      <c r="C8" s="11" t="s">
        <v>50</v>
      </c>
      <c r="D8" s="10" t="s">
        <v>58</v>
      </c>
      <c r="E8" s="10" t="s">
        <v>52</v>
      </c>
      <c r="F8" s="11" t="s">
        <v>55</v>
      </c>
      <c r="G8" s="12" t="n">
        <v>0</v>
      </c>
      <c r="H8" s="11" t="s">
        <v>59</v>
      </c>
      <c r="I8" s="10" t="s">
        <v>29</v>
      </c>
      <c r="J8" s="10" t="n">
        <v>1</v>
      </c>
      <c r="K8" s="13" t="n">
        <f aca="false">INDEX(OD_NILAI,MATCH(I8,OD_KODE,0))</f>
        <v>11</v>
      </c>
      <c r="L8" s="14" t="n">
        <f aca="false">J8*K8</f>
        <v>11</v>
      </c>
      <c r="M8" s="14" t="n">
        <f aca="false">J8*PI()/4*K8^2</f>
        <v>95.0331777710913</v>
      </c>
      <c r="N8" s="15" t="s">
        <v>60</v>
      </c>
    </row>
    <row r="9" customFormat="false" ht="26.85" hidden="false" customHeight="false" outlineLevel="0" collapsed="false">
      <c r="A9" s="5" t="n">
        <v>4</v>
      </c>
      <c r="B9" s="5" t="s">
        <v>49</v>
      </c>
      <c r="C9" s="6" t="s">
        <v>50</v>
      </c>
      <c r="D9" s="5" t="s">
        <v>61</v>
      </c>
      <c r="E9" s="5" t="s">
        <v>62</v>
      </c>
      <c r="F9" s="6" t="s">
        <v>63</v>
      </c>
      <c r="G9" s="16" t="n">
        <v>0.144</v>
      </c>
      <c r="H9" s="6" t="s">
        <v>64</v>
      </c>
      <c r="I9" s="5" t="s">
        <v>8</v>
      </c>
      <c r="J9" s="5" t="n">
        <v>1</v>
      </c>
      <c r="K9" s="17" t="n">
        <f aca="false">INDEX(OD_NILAI,MATCH(I9,OD_KODE,0))</f>
        <v>13.5</v>
      </c>
      <c r="L9" s="8" t="n">
        <f aca="false">J9*K9</f>
        <v>13.5</v>
      </c>
      <c r="M9" s="8" t="n">
        <f aca="false">J9*PI()/4*K9^2</f>
        <v>143.138815279185</v>
      </c>
      <c r="N9" s="9"/>
    </row>
    <row r="10" customFormat="false" ht="26.85" hidden="false" customHeight="false" outlineLevel="0" collapsed="false">
      <c r="A10" s="5" t="n">
        <v>5</v>
      </c>
      <c r="B10" s="5" t="s">
        <v>49</v>
      </c>
      <c r="C10" s="6" t="s">
        <v>50</v>
      </c>
      <c r="D10" s="5" t="s">
        <v>65</v>
      </c>
      <c r="E10" s="5" t="s">
        <v>62</v>
      </c>
      <c r="F10" s="6" t="s">
        <v>66</v>
      </c>
      <c r="G10" s="16" t="n">
        <v>2.7</v>
      </c>
      <c r="H10" s="6" t="s">
        <v>64</v>
      </c>
      <c r="I10" s="5" t="s">
        <v>8</v>
      </c>
      <c r="J10" s="5" t="n">
        <v>1</v>
      </c>
      <c r="K10" s="17" t="n">
        <f aca="false">INDEX(OD_NILAI,MATCH(I10,OD_KODE,0))</f>
        <v>13.5</v>
      </c>
      <c r="L10" s="8" t="n">
        <f aca="false">J10*K10</f>
        <v>13.5</v>
      </c>
      <c r="M10" s="8" t="n">
        <f aca="false">J10*PI()/4*K10^2</f>
        <v>143.138815279185</v>
      </c>
      <c r="N10" s="9"/>
    </row>
    <row r="11" customFormat="false" ht="26.85" hidden="false" customHeight="false" outlineLevel="0" collapsed="false">
      <c r="A11" s="5" t="n">
        <v>6</v>
      </c>
      <c r="B11" s="5" t="s">
        <v>49</v>
      </c>
      <c r="C11" s="6" t="s">
        <v>50</v>
      </c>
      <c r="D11" s="5" t="s">
        <v>67</v>
      </c>
      <c r="E11" s="5" t="s">
        <v>62</v>
      </c>
      <c r="F11" s="6" t="s">
        <v>68</v>
      </c>
      <c r="G11" s="16" t="n">
        <v>2.4</v>
      </c>
      <c r="H11" s="6" t="s">
        <v>64</v>
      </c>
      <c r="I11" s="5" t="s">
        <v>8</v>
      </c>
      <c r="J11" s="5" t="n">
        <v>1</v>
      </c>
      <c r="K11" s="17" t="n">
        <f aca="false">INDEX(OD_NILAI,MATCH(I11,OD_KODE,0))</f>
        <v>13.5</v>
      </c>
      <c r="L11" s="8" t="n">
        <f aca="false">J11*K11</f>
        <v>13.5</v>
      </c>
      <c r="M11" s="8" t="n">
        <f aca="false">J11*PI()/4*K11^2</f>
        <v>143.138815279185</v>
      </c>
      <c r="N11" s="9"/>
    </row>
    <row r="12" customFormat="false" ht="26.85" hidden="false" customHeight="false" outlineLevel="0" collapsed="false">
      <c r="A12" s="5" t="n">
        <v>7</v>
      </c>
      <c r="B12" s="5" t="s">
        <v>49</v>
      </c>
      <c r="C12" s="6" t="s">
        <v>50</v>
      </c>
      <c r="D12" s="5" t="s">
        <v>69</v>
      </c>
      <c r="E12" s="5" t="s">
        <v>62</v>
      </c>
      <c r="F12" s="6" t="s">
        <v>70</v>
      </c>
      <c r="G12" s="16" t="n">
        <v>1.35</v>
      </c>
      <c r="H12" s="6" t="s">
        <v>64</v>
      </c>
      <c r="I12" s="5" t="s">
        <v>8</v>
      </c>
      <c r="J12" s="5" t="n">
        <v>1</v>
      </c>
      <c r="K12" s="17" t="n">
        <f aca="false">INDEX(OD_NILAI,MATCH(I12,OD_KODE,0))</f>
        <v>13.5</v>
      </c>
      <c r="L12" s="8" t="n">
        <f aca="false">J12*K12</f>
        <v>13.5</v>
      </c>
      <c r="M12" s="8" t="n">
        <f aca="false">J12*PI()/4*K12^2</f>
        <v>143.138815279185</v>
      </c>
      <c r="N12" s="9"/>
    </row>
    <row r="13" customFormat="false" ht="26.85" hidden="false" customHeight="false" outlineLevel="0" collapsed="false">
      <c r="A13" s="5" t="n">
        <v>8</v>
      </c>
      <c r="B13" s="5" t="s">
        <v>49</v>
      </c>
      <c r="C13" s="6" t="s">
        <v>50</v>
      </c>
      <c r="D13" s="5" t="s">
        <v>71</v>
      </c>
      <c r="E13" s="5" t="s">
        <v>62</v>
      </c>
      <c r="F13" s="6" t="s">
        <v>72</v>
      </c>
      <c r="G13" s="16" t="n">
        <v>0.312</v>
      </c>
      <c r="H13" s="6" t="s">
        <v>64</v>
      </c>
      <c r="I13" s="5" t="s">
        <v>8</v>
      </c>
      <c r="J13" s="5" t="n">
        <v>1</v>
      </c>
      <c r="K13" s="17" t="n">
        <f aca="false">INDEX(OD_NILAI,MATCH(I13,OD_KODE,0))</f>
        <v>13.5</v>
      </c>
      <c r="L13" s="8" t="n">
        <f aca="false">J13*K13</f>
        <v>13.5</v>
      </c>
      <c r="M13" s="8" t="n">
        <f aca="false">J13*PI()/4*K13^2</f>
        <v>143.138815279185</v>
      </c>
      <c r="N13" s="9"/>
    </row>
    <row r="14" customFormat="false" ht="26.85" hidden="false" customHeight="false" outlineLevel="0" collapsed="false">
      <c r="A14" s="5" t="n">
        <v>9</v>
      </c>
      <c r="B14" s="5" t="s">
        <v>49</v>
      </c>
      <c r="C14" s="6" t="s">
        <v>50</v>
      </c>
      <c r="D14" s="5" t="s">
        <v>73</v>
      </c>
      <c r="E14" s="5" t="s">
        <v>62</v>
      </c>
      <c r="F14" s="6" t="s">
        <v>74</v>
      </c>
      <c r="G14" s="16" t="n">
        <v>0.8</v>
      </c>
      <c r="H14" s="6" t="s">
        <v>64</v>
      </c>
      <c r="I14" s="5" t="s">
        <v>8</v>
      </c>
      <c r="J14" s="5" t="n">
        <v>1</v>
      </c>
      <c r="K14" s="17" t="n">
        <f aca="false">INDEX(OD_NILAI,MATCH(I14,OD_KODE,0))</f>
        <v>13.5</v>
      </c>
      <c r="L14" s="8" t="n">
        <f aca="false">J14*K14</f>
        <v>13.5</v>
      </c>
      <c r="M14" s="8" t="n">
        <f aca="false">J14*PI()/4*K14^2</f>
        <v>143.138815279185</v>
      </c>
      <c r="N14" s="9"/>
    </row>
    <row r="15" customFormat="false" ht="26.85" hidden="false" customHeight="false" outlineLevel="0" collapsed="false">
      <c r="A15" s="5" t="n">
        <v>10</v>
      </c>
      <c r="B15" s="5" t="s">
        <v>49</v>
      </c>
      <c r="C15" s="6" t="s">
        <v>50</v>
      </c>
      <c r="D15" s="5" t="s">
        <v>75</v>
      </c>
      <c r="E15" s="5" t="s">
        <v>62</v>
      </c>
      <c r="F15" s="6" t="s">
        <v>76</v>
      </c>
      <c r="G15" s="16" t="n">
        <v>0.055</v>
      </c>
      <c r="H15" s="6" t="s">
        <v>64</v>
      </c>
      <c r="I15" s="5" t="s">
        <v>8</v>
      </c>
      <c r="J15" s="5" t="n">
        <v>1</v>
      </c>
      <c r="K15" s="17" t="n">
        <f aca="false">INDEX(OD_NILAI,MATCH(I15,OD_KODE,0))</f>
        <v>13.5</v>
      </c>
      <c r="L15" s="8" t="n">
        <f aca="false">J15*K15</f>
        <v>13.5</v>
      </c>
      <c r="M15" s="8" t="n">
        <f aca="false">J15*PI()/4*K15^2</f>
        <v>143.138815279185</v>
      </c>
      <c r="N15" s="9"/>
    </row>
    <row r="16" customFormat="false" ht="26.85" hidden="false" customHeight="false" outlineLevel="0" collapsed="false">
      <c r="A16" s="5" t="n">
        <v>11</v>
      </c>
      <c r="B16" s="5" t="s">
        <v>49</v>
      </c>
      <c r="C16" s="6" t="s">
        <v>50</v>
      </c>
      <c r="D16" s="5" t="s">
        <v>77</v>
      </c>
      <c r="E16" s="5" t="s">
        <v>62</v>
      </c>
      <c r="F16" s="6" t="s">
        <v>78</v>
      </c>
      <c r="G16" s="16" t="n">
        <v>0.108</v>
      </c>
      <c r="H16" s="6" t="s">
        <v>64</v>
      </c>
      <c r="I16" s="5" t="s">
        <v>8</v>
      </c>
      <c r="J16" s="5" t="n">
        <v>1</v>
      </c>
      <c r="K16" s="17" t="n">
        <f aca="false">INDEX(OD_NILAI,MATCH(I16,OD_KODE,0))</f>
        <v>13.5</v>
      </c>
      <c r="L16" s="8" t="n">
        <f aca="false">J16*K16</f>
        <v>13.5</v>
      </c>
      <c r="M16" s="8" t="n">
        <f aca="false">J16*PI()/4*K16^2</f>
        <v>143.138815279185</v>
      </c>
      <c r="N16" s="9"/>
    </row>
    <row r="17" customFormat="false" ht="26.85" hidden="false" customHeight="false" outlineLevel="0" collapsed="false">
      <c r="A17" s="5" t="n">
        <v>12</v>
      </c>
      <c r="B17" s="5" t="s">
        <v>49</v>
      </c>
      <c r="C17" s="6" t="s">
        <v>50</v>
      </c>
      <c r="D17" s="5" t="s">
        <v>79</v>
      </c>
      <c r="E17" s="5" t="s">
        <v>62</v>
      </c>
      <c r="F17" s="6" t="s">
        <v>80</v>
      </c>
      <c r="G17" s="16" t="n">
        <v>0.6</v>
      </c>
      <c r="H17" s="6" t="s">
        <v>64</v>
      </c>
      <c r="I17" s="5" t="s">
        <v>8</v>
      </c>
      <c r="J17" s="5" t="n">
        <v>1</v>
      </c>
      <c r="K17" s="17" t="n">
        <f aca="false">INDEX(OD_NILAI,MATCH(I17,OD_KODE,0))</f>
        <v>13.5</v>
      </c>
      <c r="L17" s="8" t="n">
        <f aca="false">J17*K17</f>
        <v>13.5</v>
      </c>
      <c r="M17" s="8" t="n">
        <f aca="false">J17*PI()/4*K17^2</f>
        <v>143.138815279185</v>
      </c>
      <c r="N17" s="9"/>
    </row>
    <row r="18" customFormat="false" ht="26.85" hidden="false" customHeight="false" outlineLevel="0" collapsed="false">
      <c r="A18" s="5" t="n">
        <v>13</v>
      </c>
      <c r="B18" s="5" t="s">
        <v>49</v>
      </c>
      <c r="C18" s="6" t="s">
        <v>50</v>
      </c>
      <c r="D18" s="5" t="s">
        <v>81</v>
      </c>
      <c r="E18" s="5" t="s">
        <v>62</v>
      </c>
      <c r="F18" s="6" t="s">
        <v>82</v>
      </c>
      <c r="G18" s="16" t="n">
        <v>0.8</v>
      </c>
      <c r="H18" s="6" t="s">
        <v>64</v>
      </c>
      <c r="I18" s="5" t="s">
        <v>8</v>
      </c>
      <c r="J18" s="5" t="n">
        <v>1</v>
      </c>
      <c r="K18" s="17" t="n">
        <f aca="false">INDEX(OD_NILAI,MATCH(I18,OD_KODE,0))</f>
        <v>13.5</v>
      </c>
      <c r="L18" s="8" t="n">
        <f aca="false">J18*K18</f>
        <v>13.5</v>
      </c>
      <c r="M18" s="8" t="n">
        <f aca="false">J18*PI()/4*K18^2</f>
        <v>143.138815279185</v>
      </c>
      <c r="N18" s="9"/>
    </row>
    <row r="19" customFormat="false" ht="26.85" hidden="false" customHeight="false" outlineLevel="0" collapsed="false">
      <c r="A19" s="5" t="n">
        <v>14</v>
      </c>
      <c r="B19" s="5" t="s">
        <v>49</v>
      </c>
      <c r="C19" s="6" t="s">
        <v>50</v>
      </c>
      <c r="D19" s="5" t="s">
        <v>83</v>
      </c>
      <c r="E19" s="5" t="s">
        <v>62</v>
      </c>
      <c r="F19" s="6" t="s">
        <v>84</v>
      </c>
      <c r="G19" s="16" t="n">
        <v>2.2</v>
      </c>
      <c r="H19" s="6" t="s">
        <v>64</v>
      </c>
      <c r="I19" s="5" t="s">
        <v>8</v>
      </c>
      <c r="J19" s="5" t="n">
        <v>1</v>
      </c>
      <c r="K19" s="17" t="n">
        <f aca="false">INDEX(OD_NILAI,MATCH(I19,OD_KODE,0))</f>
        <v>13.5</v>
      </c>
      <c r="L19" s="8" t="n">
        <f aca="false">J19*K19</f>
        <v>13.5</v>
      </c>
      <c r="M19" s="8" t="n">
        <f aca="false">J19*PI()/4*K19^2</f>
        <v>143.138815279185</v>
      </c>
      <c r="N19" s="9"/>
    </row>
    <row r="20" customFormat="false" ht="26.85" hidden="false" customHeight="false" outlineLevel="0" collapsed="false">
      <c r="A20" s="5" t="n">
        <v>15</v>
      </c>
      <c r="B20" s="5" t="s">
        <v>49</v>
      </c>
      <c r="C20" s="6" t="s">
        <v>50</v>
      </c>
      <c r="D20" s="5" t="s">
        <v>85</v>
      </c>
      <c r="E20" s="5" t="s">
        <v>62</v>
      </c>
      <c r="F20" s="6" t="s">
        <v>86</v>
      </c>
      <c r="G20" s="16" t="n">
        <v>9</v>
      </c>
      <c r="H20" s="6" t="s">
        <v>64</v>
      </c>
      <c r="I20" s="5" t="s">
        <v>8</v>
      </c>
      <c r="J20" s="5" t="n">
        <v>1</v>
      </c>
      <c r="K20" s="17" t="n">
        <f aca="false">INDEX(OD_NILAI,MATCH(I20,OD_KODE,0))</f>
        <v>13.5</v>
      </c>
      <c r="L20" s="8" t="n">
        <f aca="false">J20*K20</f>
        <v>13.5</v>
      </c>
      <c r="M20" s="8" t="n">
        <f aca="false">J20*PI()/4*K20^2</f>
        <v>143.138815279185</v>
      </c>
      <c r="N20" s="9"/>
    </row>
    <row r="21" customFormat="false" ht="26.85" hidden="false" customHeight="false" outlineLevel="0" collapsed="false">
      <c r="A21" s="5" t="n">
        <v>16</v>
      </c>
      <c r="B21" s="5" t="s">
        <v>49</v>
      </c>
      <c r="C21" s="6" t="s">
        <v>50</v>
      </c>
      <c r="D21" s="5" t="s">
        <v>87</v>
      </c>
      <c r="E21" s="5" t="s">
        <v>62</v>
      </c>
      <c r="F21" s="6" t="s">
        <v>88</v>
      </c>
      <c r="G21" s="16" t="n">
        <v>2.2</v>
      </c>
      <c r="H21" s="6" t="s">
        <v>64</v>
      </c>
      <c r="I21" s="5" t="s">
        <v>8</v>
      </c>
      <c r="J21" s="5" t="n">
        <v>1</v>
      </c>
      <c r="K21" s="17" t="n">
        <f aca="false">INDEX(OD_NILAI,MATCH(I21,OD_KODE,0))</f>
        <v>13.5</v>
      </c>
      <c r="L21" s="8" t="n">
        <f aca="false">J21*K21</f>
        <v>13.5</v>
      </c>
      <c r="M21" s="8" t="n">
        <f aca="false">J21*PI()/4*K21^2</f>
        <v>143.138815279185</v>
      </c>
      <c r="N21" s="9"/>
    </row>
    <row r="22" customFormat="false" ht="26.85" hidden="false" customHeight="false" outlineLevel="0" collapsed="false">
      <c r="A22" s="5" t="n">
        <v>17</v>
      </c>
      <c r="B22" s="5" t="s">
        <v>49</v>
      </c>
      <c r="C22" s="6" t="s">
        <v>50</v>
      </c>
      <c r="D22" s="5" t="s">
        <v>89</v>
      </c>
      <c r="E22" s="5" t="s">
        <v>62</v>
      </c>
      <c r="F22" s="6" t="s">
        <v>90</v>
      </c>
      <c r="G22" s="16" t="n">
        <v>9</v>
      </c>
      <c r="H22" s="6" t="s">
        <v>91</v>
      </c>
      <c r="I22" s="5" t="s">
        <v>11</v>
      </c>
      <c r="J22" s="5" t="n">
        <v>1</v>
      </c>
      <c r="K22" s="17" t="n">
        <f aca="false">INDEX(OD_NILAI,MATCH(I22,OD_KODE,0))</f>
        <v>16</v>
      </c>
      <c r="L22" s="8" t="n">
        <f aca="false">J22*K22</f>
        <v>16</v>
      </c>
      <c r="M22" s="8" t="n">
        <f aca="false">J22*PI()/4*K22^2</f>
        <v>201.061929829747</v>
      </c>
      <c r="N22" s="9"/>
    </row>
    <row r="23" customFormat="false" ht="26.85" hidden="false" customHeight="false" outlineLevel="0" collapsed="false">
      <c r="A23" s="5" t="n">
        <v>18</v>
      </c>
      <c r="B23" s="5" t="s">
        <v>49</v>
      </c>
      <c r="C23" s="6" t="s">
        <v>50</v>
      </c>
      <c r="D23" s="5" t="s">
        <v>92</v>
      </c>
      <c r="E23" s="5" t="s">
        <v>62</v>
      </c>
      <c r="F23" s="6" t="s">
        <v>93</v>
      </c>
      <c r="G23" s="16" t="n">
        <v>1</v>
      </c>
      <c r="H23" s="6" t="s">
        <v>64</v>
      </c>
      <c r="I23" s="5" t="s">
        <v>8</v>
      </c>
      <c r="J23" s="5" t="n">
        <v>1</v>
      </c>
      <c r="K23" s="17" t="n">
        <f aca="false">INDEX(OD_NILAI,MATCH(I23,OD_KODE,0))</f>
        <v>13.5</v>
      </c>
      <c r="L23" s="8" t="n">
        <f aca="false">J23*K23</f>
        <v>13.5</v>
      </c>
      <c r="M23" s="8" t="n">
        <f aca="false">J23*PI()/4*K23^2</f>
        <v>143.138815279185</v>
      </c>
      <c r="N23" s="9"/>
    </row>
    <row r="24" customFormat="false" ht="26.85" hidden="false" customHeight="false" outlineLevel="0" collapsed="false">
      <c r="A24" s="5" t="n">
        <v>19</v>
      </c>
      <c r="B24" s="5" t="s">
        <v>49</v>
      </c>
      <c r="C24" s="6" t="s">
        <v>50</v>
      </c>
      <c r="D24" s="5" t="s">
        <v>94</v>
      </c>
      <c r="E24" s="5" t="s">
        <v>62</v>
      </c>
      <c r="F24" s="6" t="s">
        <v>95</v>
      </c>
      <c r="G24" s="16" t="n">
        <v>1</v>
      </c>
      <c r="H24" s="6" t="s">
        <v>64</v>
      </c>
      <c r="I24" s="5" t="s">
        <v>8</v>
      </c>
      <c r="J24" s="5" t="n">
        <v>1</v>
      </c>
      <c r="K24" s="17" t="n">
        <f aca="false">INDEX(OD_NILAI,MATCH(I24,OD_KODE,0))</f>
        <v>13.5</v>
      </c>
      <c r="L24" s="8" t="n">
        <f aca="false">J24*K24</f>
        <v>13.5</v>
      </c>
      <c r="M24" s="8" t="n">
        <f aca="false">J24*PI()/4*K24^2</f>
        <v>143.138815279185</v>
      </c>
      <c r="N24" s="9"/>
    </row>
    <row r="25" customFormat="false" ht="26.85" hidden="false" customHeight="false" outlineLevel="0" collapsed="false">
      <c r="A25" s="5" t="n">
        <v>20</v>
      </c>
      <c r="B25" s="5" t="s">
        <v>49</v>
      </c>
      <c r="C25" s="6" t="s">
        <v>50</v>
      </c>
      <c r="D25" s="5" t="s">
        <v>96</v>
      </c>
      <c r="E25" s="5" t="s">
        <v>62</v>
      </c>
      <c r="F25" s="6" t="s">
        <v>97</v>
      </c>
      <c r="G25" s="16" t="n">
        <v>0.4</v>
      </c>
      <c r="H25" s="6" t="s">
        <v>64</v>
      </c>
      <c r="I25" s="5" t="s">
        <v>8</v>
      </c>
      <c r="J25" s="5" t="n">
        <v>1</v>
      </c>
      <c r="K25" s="17" t="n">
        <f aca="false">INDEX(OD_NILAI,MATCH(I25,OD_KODE,0))</f>
        <v>13.5</v>
      </c>
      <c r="L25" s="8" t="n">
        <f aca="false">J25*K25</f>
        <v>13.5</v>
      </c>
      <c r="M25" s="8" t="n">
        <f aca="false">J25*PI()/4*K25^2</f>
        <v>143.138815279185</v>
      </c>
      <c r="N25" s="9"/>
    </row>
    <row r="26" customFormat="false" ht="26.85" hidden="false" customHeight="false" outlineLevel="0" collapsed="false">
      <c r="A26" s="5" t="n">
        <v>21</v>
      </c>
      <c r="B26" s="5" t="s">
        <v>49</v>
      </c>
      <c r="C26" s="6" t="s">
        <v>50</v>
      </c>
      <c r="D26" s="5" t="s">
        <v>98</v>
      </c>
      <c r="E26" s="5" t="s">
        <v>62</v>
      </c>
      <c r="F26" s="6" t="s">
        <v>99</v>
      </c>
      <c r="G26" s="16" t="n">
        <v>0.8</v>
      </c>
      <c r="H26" s="6" t="s">
        <v>64</v>
      </c>
      <c r="I26" s="5" t="s">
        <v>8</v>
      </c>
      <c r="J26" s="5" t="n">
        <v>1</v>
      </c>
      <c r="K26" s="17" t="n">
        <f aca="false">INDEX(OD_NILAI,MATCH(I26,OD_KODE,0))</f>
        <v>13.5</v>
      </c>
      <c r="L26" s="8" t="n">
        <f aca="false">J26*K26</f>
        <v>13.5</v>
      </c>
      <c r="M26" s="8" t="n">
        <f aca="false">J26*PI()/4*K26^2</f>
        <v>143.138815279185</v>
      </c>
      <c r="N26" s="9"/>
    </row>
    <row r="27" customFormat="false" ht="26.85" hidden="false" customHeight="false" outlineLevel="0" collapsed="false">
      <c r="A27" s="5" t="n">
        <v>22</v>
      </c>
      <c r="B27" s="5" t="s">
        <v>49</v>
      </c>
      <c r="C27" s="6" t="s">
        <v>50</v>
      </c>
      <c r="D27" s="5" t="s">
        <v>100</v>
      </c>
      <c r="E27" s="5" t="s">
        <v>62</v>
      </c>
      <c r="F27" s="6" t="s">
        <v>101</v>
      </c>
      <c r="G27" s="16" t="n">
        <v>9</v>
      </c>
      <c r="H27" s="6" t="s">
        <v>91</v>
      </c>
      <c r="I27" s="5" t="s">
        <v>11</v>
      </c>
      <c r="J27" s="5" t="n">
        <v>1</v>
      </c>
      <c r="K27" s="17" t="n">
        <f aca="false">INDEX(OD_NILAI,MATCH(I27,OD_KODE,0))</f>
        <v>16</v>
      </c>
      <c r="L27" s="8" t="n">
        <f aca="false">J27*K27</f>
        <v>16</v>
      </c>
      <c r="M27" s="8" t="n">
        <f aca="false">J27*PI()/4*K27^2</f>
        <v>201.061929829747</v>
      </c>
      <c r="N27" s="9"/>
    </row>
    <row r="28" customFormat="false" ht="26.85" hidden="false" customHeight="false" outlineLevel="0" collapsed="false">
      <c r="A28" s="5" t="n">
        <v>23</v>
      </c>
      <c r="B28" s="5" t="s">
        <v>49</v>
      </c>
      <c r="C28" s="6" t="s">
        <v>50</v>
      </c>
      <c r="D28" s="5" t="s">
        <v>102</v>
      </c>
      <c r="E28" s="5" t="s">
        <v>62</v>
      </c>
      <c r="F28" s="6" t="s">
        <v>103</v>
      </c>
      <c r="G28" s="16" t="n">
        <v>2.2</v>
      </c>
      <c r="H28" s="6" t="s">
        <v>64</v>
      </c>
      <c r="I28" s="5" t="s">
        <v>8</v>
      </c>
      <c r="J28" s="5" t="n">
        <v>1</v>
      </c>
      <c r="K28" s="17" t="n">
        <f aca="false">INDEX(OD_NILAI,MATCH(I28,OD_KODE,0))</f>
        <v>13.5</v>
      </c>
      <c r="L28" s="8" t="n">
        <f aca="false">J28*K28</f>
        <v>13.5</v>
      </c>
      <c r="M28" s="8" t="n">
        <f aca="false">J28*PI()/4*K28^2</f>
        <v>143.138815279185</v>
      </c>
      <c r="N28" s="9"/>
    </row>
    <row r="29" customFormat="false" ht="26.85" hidden="false" customHeight="false" outlineLevel="0" collapsed="false">
      <c r="A29" s="5" t="n">
        <v>24</v>
      </c>
      <c r="B29" s="5" t="s">
        <v>49</v>
      </c>
      <c r="C29" s="6" t="s">
        <v>50</v>
      </c>
      <c r="D29" s="5" t="s">
        <v>104</v>
      </c>
      <c r="E29" s="5" t="s">
        <v>62</v>
      </c>
      <c r="F29" s="6" t="s">
        <v>105</v>
      </c>
      <c r="G29" s="16" t="n">
        <v>9</v>
      </c>
      <c r="H29" s="6" t="s">
        <v>91</v>
      </c>
      <c r="I29" s="5" t="s">
        <v>11</v>
      </c>
      <c r="J29" s="5" t="n">
        <v>1</v>
      </c>
      <c r="K29" s="17" t="n">
        <f aca="false">INDEX(OD_NILAI,MATCH(I29,OD_KODE,0))</f>
        <v>16</v>
      </c>
      <c r="L29" s="8" t="n">
        <f aca="false">J29*K29</f>
        <v>16</v>
      </c>
      <c r="M29" s="8" t="n">
        <f aca="false">J29*PI()/4*K29^2</f>
        <v>201.061929829747</v>
      </c>
      <c r="N29" s="9"/>
    </row>
    <row r="30" customFormat="false" ht="26.85" hidden="false" customHeight="false" outlineLevel="0" collapsed="false">
      <c r="A30" s="5" t="n">
        <v>25</v>
      </c>
      <c r="B30" s="5" t="s">
        <v>49</v>
      </c>
      <c r="C30" s="6" t="s">
        <v>50</v>
      </c>
      <c r="D30" s="5" t="s">
        <v>106</v>
      </c>
      <c r="E30" s="5" t="s">
        <v>62</v>
      </c>
      <c r="F30" s="6" t="s">
        <v>107</v>
      </c>
      <c r="G30" s="16" t="n">
        <v>2.2</v>
      </c>
      <c r="H30" s="6" t="s">
        <v>64</v>
      </c>
      <c r="I30" s="5" t="s">
        <v>8</v>
      </c>
      <c r="J30" s="5" t="n">
        <v>1</v>
      </c>
      <c r="K30" s="17" t="n">
        <f aca="false">INDEX(OD_NILAI,MATCH(I30,OD_KODE,0))</f>
        <v>13.5</v>
      </c>
      <c r="L30" s="8" t="n">
        <f aca="false">J30*K30</f>
        <v>13.5</v>
      </c>
      <c r="M30" s="8" t="n">
        <f aca="false">J30*PI()/4*K30^2</f>
        <v>143.138815279185</v>
      </c>
      <c r="N30" s="9"/>
    </row>
    <row r="31" customFormat="false" ht="26.85" hidden="false" customHeight="false" outlineLevel="0" collapsed="false">
      <c r="A31" s="5" t="n">
        <v>26</v>
      </c>
      <c r="B31" s="5" t="s">
        <v>49</v>
      </c>
      <c r="C31" s="6" t="s">
        <v>50</v>
      </c>
      <c r="D31" s="5" t="s">
        <v>108</v>
      </c>
      <c r="E31" s="5" t="s">
        <v>62</v>
      </c>
      <c r="F31" s="6" t="s">
        <v>109</v>
      </c>
      <c r="G31" s="16" t="n">
        <v>0.4</v>
      </c>
      <c r="H31" s="6" t="s">
        <v>64</v>
      </c>
      <c r="I31" s="5" t="s">
        <v>8</v>
      </c>
      <c r="J31" s="5" t="n">
        <v>1</v>
      </c>
      <c r="K31" s="17" t="n">
        <f aca="false">INDEX(OD_NILAI,MATCH(I31,OD_KODE,0))</f>
        <v>13.5</v>
      </c>
      <c r="L31" s="8" t="n">
        <f aca="false">J31*K31</f>
        <v>13.5</v>
      </c>
      <c r="M31" s="8" t="n">
        <f aca="false">J31*PI()/4*K31^2</f>
        <v>143.138815279185</v>
      </c>
      <c r="N31" s="9"/>
    </row>
    <row r="32" customFormat="false" ht="26.85" hidden="false" customHeight="false" outlineLevel="0" collapsed="false">
      <c r="A32" s="5" t="n">
        <v>27</v>
      </c>
      <c r="B32" s="5" t="s">
        <v>49</v>
      </c>
      <c r="C32" s="6" t="s">
        <v>50</v>
      </c>
      <c r="D32" s="5" t="s">
        <v>110</v>
      </c>
      <c r="E32" s="5" t="s">
        <v>62</v>
      </c>
      <c r="F32" s="6" t="s">
        <v>111</v>
      </c>
      <c r="G32" s="16" t="n">
        <v>0.4</v>
      </c>
      <c r="H32" s="6" t="s">
        <v>64</v>
      </c>
      <c r="I32" s="5" t="s">
        <v>8</v>
      </c>
      <c r="J32" s="5" t="n">
        <v>1</v>
      </c>
      <c r="K32" s="17" t="n">
        <f aca="false">INDEX(OD_NILAI,MATCH(I32,OD_KODE,0))</f>
        <v>13.5</v>
      </c>
      <c r="L32" s="8" t="n">
        <f aca="false">J32*K32</f>
        <v>13.5</v>
      </c>
      <c r="M32" s="8" t="n">
        <f aca="false">J32*PI()/4*K32^2</f>
        <v>143.138815279185</v>
      </c>
      <c r="N32" s="9"/>
    </row>
    <row r="33" customFormat="false" ht="26.85" hidden="false" customHeight="false" outlineLevel="0" collapsed="false">
      <c r="A33" s="5" t="n">
        <v>28</v>
      </c>
      <c r="B33" s="5" t="s">
        <v>49</v>
      </c>
      <c r="C33" s="6" t="s">
        <v>50</v>
      </c>
      <c r="D33" s="5" t="s">
        <v>112</v>
      </c>
      <c r="E33" s="5" t="s">
        <v>62</v>
      </c>
      <c r="F33" s="6" t="s">
        <v>113</v>
      </c>
      <c r="G33" s="16" t="n">
        <v>0.4</v>
      </c>
      <c r="H33" s="6" t="s">
        <v>64</v>
      </c>
      <c r="I33" s="5" t="s">
        <v>8</v>
      </c>
      <c r="J33" s="5" t="n">
        <v>1</v>
      </c>
      <c r="K33" s="17" t="n">
        <f aca="false">INDEX(OD_NILAI,MATCH(I33,OD_KODE,0))</f>
        <v>13.5</v>
      </c>
      <c r="L33" s="8" t="n">
        <f aca="false">J33*K33</f>
        <v>13.5</v>
      </c>
      <c r="M33" s="8" t="n">
        <f aca="false">J33*PI()/4*K33^2</f>
        <v>143.138815279185</v>
      </c>
      <c r="N33" s="9"/>
    </row>
    <row r="34" customFormat="false" ht="26.85" hidden="false" customHeight="false" outlineLevel="0" collapsed="false">
      <c r="A34" s="5" t="n">
        <v>29</v>
      </c>
      <c r="B34" s="5" t="s">
        <v>49</v>
      </c>
      <c r="C34" s="6" t="s">
        <v>50</v>
      </c>
      <c r="D34" s="5" t="s">
        <v>114</v>
      </c>
      <c r="E34" s="5" t="s">
        <v>62</v>
      </c>
      <c r="F34" s="6" t="s">
        <v>115</v>
      </c>
      <c r="G34" s="16" t="n">
        <v>2.2</v>
      </c>
      <c r="H34" s="6" t="s">
        <v>64</v>
      </c>
      <c r="I34" s="5" t="s">
        <v>8</v>
      </c>
      <c r="J34" s="5" t="n">
        <v>1</v>
      </c>
      <c r="K34" s="17" t="n">
        <f aca="false">INDEX(OD_NILAI,MATCH(I34,OD_KODE,0))</f>
        <v>13.5</v>
      </c>
      <c r="L34" s="8" t="n">
        <f aca="false">J34*K34</f>
        <v>13.5</v>
      </c>
      <c r="M34" s="8" t="n">
        <f aca="false">J34*PI()/4*K34^2</f>
        <v>143.138815279185</v>
      </c>
      <c r="N34" s="9"/>
    </row>
    <row r="35" customFormat="false" ht="26.85" hidden="false" customHeight="false" outlineLevel="0" collapsed="false">
      <c r="A35" s="5" t="n">
        <v>30</v>
      </c>
      <c r="B35" s="5" t="s">
        <v>49</v>
      </c>
      <c r="C35" s="6" t="s">
        <v>50</v>
      </c>
      <c r="D35" s="5" t="s">
        <v>116</v>
      </c>
      <c r="E35" s="5" t="s">
        <v>62</v>
      </c>
      <c r="F35" s="6" t="s">
        <v>117</v>
      </c>
      <c r="G35" s="16" t="n">
        <v>0</v>
      </c>
      <c r="H35" s="6" t="s">
        <v>118</v>
      </c>
      <c r="I35" s="5"/>
      <c r="J35" s="5" t="n">
        <v>0</v>
      </c>
      <c r="K35" s="8" t="n">
        <v>0</v>
      </c>
      <c r="L35" s="8" t="n">
        <f aca="false">J35*K35</f>
        <v>0</v>
      </c>
      <c r="M35" s="8" t="n">
        <f aca="false">J35*PI()/4*K35^2</f>
        <v>0</v>
      </c>
      <c r="N35" s="9" t="s">
        <v>119</v>
      </c>
    </row>
    <row r="36" customFormat="false" ht="26.85" hidden="false" customHeight="false" outlineLevel="0" collapsed="false">
      <c r="A36" s="5" t="n">
        <v>31</v>
      </c>
      <c r="B36" s="5" t="s">
        <v>49</v>
      </c>
      <c r="C36" s="6" t="s">
        <v>50</v>
      </c>
      <c r="D36" s="5" t="s">
        <v>120</v>
      </c>
      <c r="E36" s="5" t="s">
        <v>62</v>
      </c>
      <c r="F36" s="6" t="s">
        <v>117</v>
      </c>
      <c r="G36" s="16" t="n">
        <v>0</v>
      </c>
      <c r="H36" s="6" t="s">
        <v>118</v>
      </c>
      <c r="I36" s="5"/>
      <c r="J36" s="5" t="n">
        <v>0</v>
      </c>
      <c r="K36" s="8" t="n">
        <v>0</v>
      </c>
      <c r="L36" s="8" t="n">
        <f aca="false">J36*K36</f>
        <v>0</v>
      </c>
      <c r="M36" s="8" t="n">
        <f aca="false">J36*PI()/4*K36^2</f>
        <v>0</v>
      </c>
      <c r="N36" s="9" t="s">
        <v>119</v>
      </c>
    </row>
    <row r="37" customFormat="false" ht="26.85" hidden="false" customHeight="false" outlineLevel="0" collapsed="false">
      <c r="A37" s="5" t="n">
        <v>32</v>
      </c>
      <c r="B37" s="5" t="s">
        <v>49</v>
      </c>
      <c r="C37" s="6" t="s">
        <v>50</v>
      </c>
      <c r="D37" s="5" t="s">
        <v>121</v>
      </c>
      <c r="E37" s="5" t="s">
        <v>62</v>
      </c>
      <c r="F37" s="6" t="s">
        <v>117</v>
      </c>
      <c r="G37" s="16" t="n">
        <v>0</v>
      </c>
      <c r="H37" s="6" t="s">
        <v>118</v>
      </c>
      <c r="I37" s="5"/>
      <c r="J37" s="5" t="n">
        <v>0</v>
      </c>
      <c r="K37" s="8" t="n">
        <v>0</v>
      </c>
      <c r="L37" s="8" t="n">
        <f aca="false">J37*K37</f>
        <v>0</v>
      </c>
      <c r="M37" s="8" t="n">
        <f aca="false">J37*PI()/4*K37^2</f>
        <v>0</v>
      </c>
      <c r="N37" s="9" t="s">
        <v>119</v>
      </c>
    </row>
    <row r="38" customFormat="false" ht="26.85" hidden="false" customHeight="false" outlineLevel="0" collapsed="false">
      <c r="A38" s="10" t="n">
        <v>33</v>
      </c>
      <c r="B38" s="10" t="s">
        <v>49</v>
      </c>
      <c r="C38" s="11" t="s">
        <v>122</v>
      </c>
      <c r="D38" s="10" t="s">
        <v>52</v>
      </c>
      <c r="E38" s="10" t="s">
        <v>52</v>
      </c>
      <c r="F38" s="11" t="s">
        <v>55</v>
      </c>
      <c r="G38" s="12" t="n">
        <v>0</v>
      </c>
      <c r="H38" s="11" t="s">
        <v>123</v>
      </c>
      <c r="I38" s="10" t="s">
        <v>14</v>
      </c>
      <c r="J38" s="10" t="n">
        <v>1</v>
      </c>
      <c r="K38" s="13" t="n">
        <f aca="false">INDEX(OD_NILAI,MATCH(I38,OD_KODE,0))</f>
        <v>16</v>
      </c>
      <c r="L38" s="14" t="n">
        <f aca="false">J38*K38</f>
        <v>16</v>
      </c>
      <c r="M38" s="14" t="n">
        <f aca="false">J38*PI()/4*K38^2</f>
        <v>201.061929829747</v>
      </c>
      <c r="N38" s="15" t="s">
        <v>124</v>
      </c>
    </row>
    <row r="39" customFormat="false" ht="26.85" hidden="false" customHeight="false" outlineLevel="0" collapsed="false">
      <c r="A39" s="10" t="n">
        <v>34</v>
      </c>
      <c r="B39" s="10" t="s">
        <v>49</v>
      </c>
      <c r="C39" s="11" t="s">
        <v>122</v>
      </c>
      <c r="D39" s="10" t="s">
        <v>58</v>
      </c>
      <c r="E39" s="10" t="s">
        <v>52</v>
      </c>
      <c r="F39" s="11" t="s">
        <v>55</v>
      </c>
      <c r="G39" s="12" t="n">
        <v>0</v>
      </c>
      <c r="H39" s="11" t="s">
        <v>125</v>
      </c>
      <c r="I39" s="10" t="s">
        <v>23</v>
      </c>
      <c r="J39" s="10" t="n">
        <v>1</v>
      </c>
      <c r="K39" s="13" t="n">
        <f aca="false">INDEX(OD_NILAI,MATCH(I39,OD_KODE,0))</f>
        <v>5.5</v>
      </c>
      <c r="L39" s="14" t="n">
        <f aca="false">J39*K39</f>
        <v>5.5</v>
      </c>
      <c r="M39" s="14" t="n">
        <f aca="false">J39*PI()/4*K39^2</f>
        <v>23.7582944427728</v>
      </c>
      <c r="N39" s="15" t="s">
        <v>126</v>
      </c>
    </row>
    <row r="40" customFormat="false" ht="26.85" hidden="false" customHeight="false" outlineLevel="0" collapsed="false">
      <c r="A40" s="5" t="n">
        <v>35</v>
      </c>
      <c r="B40" s="5" t="s">
        <v>49</v>
      </c>
      <c r="C40" s="6" t="s">
        <v>122</v>
      </c>
      <c r="D40" s="5" t="s">
        <v>127</v>
      </c>
      <c r="E40" s="5" t="s">
        <v>62</v>
      </c>
      <c r="F40" s="6" t="s">
        <v>128</v>
      </c>
      <c r="G40" s="16" t="n">
        <v>0.8</v>
      </c>
      <c r="H40" s="6" t="s">
        <v>64</v>
      </c>
      <c r="I40" s="5" t="s">
        <v>8</v>
      </c>
      <c r="J40" s="5" t="n">
        <v>1</v>
      </c>
      <c r="K40" s="17" t="n">
        <f aca="false">INDEX(OD_NILAI,MATCH(I40,OD_KODE,0))</f>
        <v>13.5</v>
      </c>
      <c r="L40" s="8" t="n">
        <f aca="false">J40*K40</f>
        <v>13.5</v>
      </c>
      <c r="M40" s="8" t="n">
        <f aca="false">J40*PI()/4*K40^2</f>
        <v>143.138815279185</v>
      </c>
      <c r="N40" s="9"/>
    </row>
    <row r="41" customFormat="false" ht="26.85" hidden="false" customHeight="false" outlineLevel="0" collapsed="false">
      <c r="A41" s="5" t="n">
        <v>36</v>
      </c>
      <c r="B41" s="5" t="s">
        <v>49</v>
      </c>
      <c r="C41" s="6" t="s">
        <v>122</v>
      </c>
      <c r="D41" s="5" t="s">
        <v>129</v>
      </c>
      <c r="E41" s="5" t="s">
        <v>62</v>
      </c>
      <c r="F41" s="6" t="s">
        <v>130</v>
      </c>
      <c r="G41" s="16" t="n">
        <v>0.4</v>
      </c>
      <c r="H41" s="6" t="s">
        <v>64</v>
      </c>
      <c r="I41" s="5" t="s">
        <v>8</v>
      </c>
      <c r="J41" s="5" t="n">
        <v>1</v>
      </c>
      <c r="K41" s="17" t="n">
        <f aca="false">INDEX(OD_NILAI,MATCH(I41,OD_KODE,0))</f>
        <v>13.5</v>
      </c>
      <c r="L41" s="8" t="n">
        <f aca="false">J41*K41</f>
        <v>13.5</v>
      </c>
      <c r="M41" s="8" t="n">
        <f aca="false">J41*PI()/4*K41^2</f>
        <v>143.138815279185</v>
      </c>
      <c r="N41" s="9"/>
    </row>
    <row r="42" customFormat="false" ht="26.85" hidden="false" customHeight="false" outlineLevel="0" collapsed="false">
      <c r="A42" s="5" t="n">
        <v>37</v>
      </c>
      <c r="B42" s="5" t="s">
        <v>49</v>
      </c>
      <c r="C42" s="6" t="s">
        <v>122</v>
      </c>
      <c r="D42" s="5" t="s">
        <v>131</v>
      </c>
      <c r="E42" s="5" t="s">
        <v>62</v>
      </c>
      <c r="F42" s="6" t="s">
        <v>132</v>
      </c>
      <c r="G42" s="16" t="n">
        <v>2</v>
      </c>
      <c r="H42" s="6" t="s">
        <v>64</v>
      </c>
      <c r="I42" s="5" t="s">
        <v>8</v>
      </c>
      <c r="J42" s="5" t="n">
        <v>1</v>
      </c>
      <c r="K42" s="17" t="n">
        <f aca="false">INDEX(OD_NILAI,MATCH(I42,OD_KODE,0))</f>
        <v>13.5</v>
      </c>
      <c r="L42" s="8" t="n">
        <f aca="false">J42*K42</f>
        <v>13.5</v>
      </c>
      <c r="M42" s="8" t="n">
        <f aca="false">J42*PI()/4*K42^2</f>
        <v>143.138815279185</v>
      </c>
      <c r="N42" s="9"/>
    </row>
    <row r="43" customFormat="false" ht="26.85" hidden="false" customHeight="false" outlineLevel="0" collapsed="false">
      <c r="A43" s="5" t="n">
        <v>38</v>
      </c>
      <c r="B43" s="5" t="s">
        <v>49</v>
      </c>
      <c r="C43" s="6" t="s">
        <v>122</v>
      </c>
      <c r="D43" s="5" t="s">
        <v>133</v>
      </c>
      <c r="E43" s="5" t="s">
        <v>62</v>
      </c>
      <c r="F43" s="6" t="s">
        <v>134</v>
      </c>
      <c r="G43" s="16" t="n">
        <v>2</v>
      </c>
      <c r="H43" s="6" t="s">
        <v>64</v>
      </c>
      <c r="I43" s="5" t="s">
        <v>8</v>
      </c>
      <c r="J43" s="5" t="n">
        <v>1</v>
      </c>
      <c r="K43" s="17" t="n">
        <f aca="false">INDEX(OD_NILAI,MATCH(I43,OD_KODE,0))</f>
        <v>13.5</v>
      </c>
      <c r="L43" s="8" t="n">
        <f aca="false">J43*K43</f>
        <v>13.5</v>
      </c>
      <c r="M43" s="8" t="n">
        <f aca="false">J43*PI()/4*K43^2</f>
        <v>143.138815279185</v>
      </c>
      <c r="N43" s="9"/>
    </row>
    <row r="44" customFormat="false" ht="26.85" hidden="false" customHeight="false" outlineLevel="0" collapsed="false">
      <c r="A44" s="5" t="n">
        <v>39</v>
      </c>
      <c r="B44" s="5" t="s">
        <v>49</v>
      </c>
      <c r="C44" s="6" t="s">
        <v>122</v>
      </c>
      <c r="D44" s="5" t="s">
        <v>135</v>
      </c>
      <c r="E44" s="5" t="s">
        <v>62</v>
      </c>
      <c r="F44" s="6" t="s">
        <v>136</v>
      </c>
      <c r="G44" s="16" t="n">
        <v>2</v>
      </c>
      <c r="H44" s="6" t="s">
        <v>64</v>
      </c>
      <c r="I44" s="5" t="s">
        <v>8</v>
      </c>
      <c r="J44" s="5" t="n">
        <v>1</v>
      </c>
      <c r="K44" s="17" t="n">
        <f aca="false">INDEX(OD_NILAI,MATCH(I44,OD_KODE,0))</f>
        <v>13.5</v>
      </c>
      <c r="L44" s="8" t="n">
        <f aca="false">J44*K44</f>
        <v>13.5</v>
      </c>
      <c r="M44" s="8" t="n">
        <f aca="false">J44*PI()/4*K44^2</f>
        <v>143.138815279185</v>
      </c>
      <c r="N44" s="9"/>
    </row>
    <row r="45" customFormat="false" ht="26.85" hidden="false" customHeight="false" outlineLevel="0" collapsed="false">
      <c r="A45" s="5" t="n">
        <v>40</v>
      </c>
      <c r="B45" s="5" t="s">
        <v>49</v>
      </c>
      <c r="C45" s="6" t="s">
        <v>122</v>
      </c>
      <c r="D45" s="5" t="s">
        <v>137</v>
      </c>
      <c r="E45" s="5" t="s">
        <v>62</v>
      </c>
      <c r="F45" s="6" t="s">
        <v>138</v>
      </c>
      <c r="G45" s="16" t="n">
        <v>0.2</v>
      </c>
      <c r="H45" s="6" t="s">
        <v>64</v>
      </c>
      <c r="I45" s="5" t="s">
        <v>8</v>
      </c>
      <c r="J45" s="5" t="n">
        <v>1</v>
      </c>
      <c r="K45" s="17" t="n">
        <f aca="false">INDEX(OD_NILAI,MATCH(I45,OD_KODE,0))</f>
        <v>13.5</v>
      </c>
      <c r="L45" s="8" t="n">
        <f aca="false">J45*K45</f>
        <v>13.5</v>
      </c>
      <c r="M45" s="8" t="n">
        <f aca="false">J45*PI()/4*K45^2</f>
        <v>143.138815279185</v>
      </c>
      <c r="N45" s="9"/>
    </row>
    <row r="46" customFormat="false" ht="26.85" hidden="false" customHeight="false" outlineLevel="0" collapsed="false">
      <c r="A46" s="5" t="n">
        <v>41</v>
      </c>
      <c r="B46" s="5" t="s">
        <v>49</v>
      </c>
      <c r="C46" s="6" t="s">
        <v>122</v>
      </c>
      <c r="D46" s="5" t="s">
        <v>139</v>
      </c>
      <c r="E46" s="5" t="s">
        <v>62</v>
      </c>
      <c r="F46" s="6" t="s">
        <v>117</v>
      </c>
      <c r="G46" s="16" t="n">
        <v>0</v>
      </c>
      <c r="H46" s="6" t="s">
        <v>118</v>
      </c>
      <c r="I46" s="5"/>
      <c r="J46" s="5" t="n">
        <v>0</v>
      </c>
      <c r="K46" s="8" t="n">
        <v>0</v>
      </c>
      <c r="L46" s="8" t="n">
        <f aca="false">J46*K46</f>
        <v>0</v>
      </c>
      <c r="M46" s="8" t="n">
        <f aca="false">J46*PI()/4*K46^2</f>
        <v>0</v>
      </c>
      <c r="N46" s="9" t="s">
        <v>119</v>
      </c>
    </row>
    <row r="47" customFormat="false" ht="26.85" hidden="false" customHeight="false" outlineLevel="0" collapsed="false">
      <c r="A47" s="5" t="n">
        <v>42</v>
      </c>
      <c r="B47" s="5" t="s">
        <v>49</v>
      </c>
      <c r="C47" s="6" t="s">
        <v>122</v>
      </c>
      <c r="D47" s="5" t="s">
        <v>140</v>
      </c>
      <c r="E47" s="5" t="s">
        <v>62</v>
      </c>
      <c r="F47" s="6" t="s">
        <v>117</v>
      </c>
      <c r="G47" s="16" t="n">
        <v>0</v>
      </c>
      <c r="H47" s="6" t="s">
        <v>118</v>
      </c>
      <c r="I47" s="5"/>
      <c r="J47" s="5" t="n">
        <v>0</v>
      </c>
      <c r="K47" s="8" t="n">
        <v>0</v>
      </c>
      <c r="L47" s="8" t="n">
        <f aca="false">J47*K47</f>
        <v>0</v>
      </c>
      <c r="M47" s="8" t="n">
        <f aca="false">J47*PI()/4*K47^2</f>
        <v>0</v>
      </c>
      <c r="N47" s="9" t="s">
        <v>119</v>
      </c>
    </row>
    <row r="48" customFormat="false" ht="26.85" hidden="false" customHeight="false" outlineLevel="0" collapsed="false">
      <c r="A48" s="5" t="n">
        <v>43</v>
      </c>
      <c r="B48" s="5" t="s">
        <v>49</v>
      </c>
      <c r="C48" s="6" t="s">
        <v>122</v>
      </c>
      <c r="D48" s="5" t="s">
        <v>141</v>
      </c>
      <c r="E48" s="5" t="s">
        <v>62</v>
      </c>
      <c r="F48" s="6" t="s">
        <v>117</v>
      </c>
      <c r="G48" s="16" t="n">
        <v>0</v>
      </c>
      <c r="H48" s="6" t="s">
        <v>118</v>
      </c>
      <c r="I48" s="5"/>
      <c r="J48" s="5" t="n">
        <v>0</v>
      </c>
      <c r="K48" s="8" t="n">
        <v>0</v>
      </c>
      <c r="L48" s="8" t="n">
        <f aca="false">J48*K48</f>
        <v>0</v>
      </c>
      <c r="M48" s="8" t="n">
        <f aca="false">J48*PI()/4*K48^2</f>
        <v>0</v>
      </c>
      <c r="N48" s="9" t="s">
        <v>119</v>
      </c>
    </row>
    <row r="49" customFormat="false" ht="26.85" hidden="false" customHeight="false" outlineLevel="0" collapsed="false">
      <c r="A49" s="10" t="n">
        <v>44</v>
      </c>
      <c r="B49" s="10" t="s">
        <v>142</v>
      </c>
      <c r="C49" s="11" t="s">
        <v>143</v>
      </c>
      <c r="D49" s="10" t="s">
        <v>52</v>
      </c>
      <c r="E49" s="10" t="s">
        <v>52</v>
      </c>
      <c r="F49" s="11" t="s">
        <v>55</v>
      </c>
      <c r="G49" s="12" t="n">
        <v>0</v>
      </c>
      <c r="H49" s="11" t="s">
        <v>144</v>
      </c>
      <c r="I49" s="10" t="s">
        <v>17</v>
      </c>
      <c r="J49" s="10" t="n">
        <v>1</v>
      </c>
      <c r="K49" s="13" t="n">
        <f aca="false">INDEX(OD_NILAI,MATCH(I49,OD_KODE,0))</f>
        <v>27.5</v>
      </c>
      <c r="L49" s="14" t="n">
        <f aca="false">J49*K49</f>
        <v>27.5</v>
      </c>
      <c r="M49" s="14" t="n">
        <f aca="false">J49*PI()/4*K49^2</f>
        <v>593.95736106932</v>
      </c>
      <c r="N49" s="15" t="s">
        <v>145</v>
      </c>
    </row>
    <row r="50" customFormat="false" ht="26.85" hidden="false" customHeight="false" outlineLevel="0" collapsed="false">
      <c r="A50" s="10" t="n">
        <v>45</v>
      </c>
      <c r="B50" s="10" t="s">
        <v>142</v>
      </c>
      <c r="C50" s="11" t="s">
        <v>143</v>
      </c>
      <c r="D50" s="10" t="s">
        <v>58</v>
      </c>
      <c r="E50" s="10" t="s">
        <v>52</v>
      </c>
      <c r="F50" s="11" t="s">
        <v>55</v>
      </c>
      <c r="G50" s="12" t="n">
        <v>0</v>
      </c>
      <c r="H50" s="11" t="s">
        <v>146</v>
      </c>
      <c r="I50" s="10" t="s">
        <v>26</v>
      </c>
      <c r="J50" s="10" t="n">
        <v>1</v>
      </c>
      <c r="K50" s="13" t="n">
        <f aca="false">INDEX(OD_NILAI,MATCH(I50,OD_KODE,0))</f>
        <v>8</v>
      </c>
      <c r="L50" s="14" t="n">
        <f aca="false">J50*K50</f>
        <v>8</v>
      </c>
      <c r="M50" s="14" t="n">
        <f aca="false">J50*PI()/4*K50^2</f>
        <v>50.2654824574367</v>
      </c>
      <c r="N50" s="15" t="s">
        <v>147</v>
      </c>
    </row>
    <row r="51" customFormat="false" ht="26.85" hidden="false" customHeight="false" outlineLevel="0" collapsed="false">
      <c r="A51" s="5" t="n">
        <v>46</v>
      </c>
      <c r="B51" s="5" t="s">
        <v>142</v>
      </c>
      <c r="C51" s="6" t="s">
        <v>143</v>
      </c>
      <c r="D51" s="5" t="s">
        <v>148</v>
      </c>
      <c r="E51" s="5" t="s">
        <v>62</v>
      </c>
      <c r="F51" s="6" t="s">
        <v>149</v>
      </c>
      <c r="G51" s="16" t="n">
        <v>0.1</v>
      </c>
      <c r="H51" s="6" t="s">
        <v>64</v>
      </c>
      <c r="I51" s="5" t="s">
        <v>8</v>
      </c>
      <c r="J51" s="5" t="n">
        <v>1</v>
      </c>
      <c r="K51" s="17" t="n">
        <f aca="false">INDEX(OD_NILAI,MATCH(I51,OD_KODE,0))</f>
        <v>13.5</v>
      </c>
      <c r="L51" s="8" t="n">
        <f aca="false">J51*K51</f>
        <v>13.5</v>
      </c>
      <c r="M51" s="8" t="n">
        <f aca="false">J51*PI()/4*K51^2</f>
        <v>143.138815279185</v>
      </c>
      <c r="N51" s="9"/>
    </row>
    <row r="52" customFormat="false" ht="26.85" hidden="false" customHeight="false" outlineLevel="0" collapsed="false">
      <c r="A52" s="5" t="n">
        <v>47</v>
      </c>
      <c r="B52" s="5" t="s">
        <v>142</v>
      </c>
      <c r="C52" s="6" t="s">
        <v>143</v>
      </c>
      <c r="D52" s="5" t="s">
        <v>150</v>
      </c>
      <c r="E52" s="5" t="s">
        <v>62</v>
      </c>
      <c r="F52" s="6" t="s">
        <v>151</v>
      </c>
      <c r="G52" s="16" t="n">
        <v>0.2</v>
      </c>
      <c r="H52" s="6" t="s">
        <v>64</v>
      </c>
      <c r="I52" s="5" t="s">
        <v>8</v>
      </c>
      <c r="J52" s="5" t="n">
        <v>1</v>
      </c>
      <c r="K52" s="17" t="n">
        <f aca="false">INDEX(OD_NILAI,MATCH(I52,OD_KODE,0))</f>
        <v>13.5</v>
      </c>
      <c r="L52" s="8" t="n">
        <f aca="false">J52*K52</f>
        <v>13.5</v>
      </c>
      <c r="M52" s="8" t="n">
        <f aca="false">J52*PI()/4*K52^2</f>
        <v>143.138815279185</v>
      </c>
      <c r="N52" s="9"/>
    </row>
    <row r="53" customFormat="false" ht="26.85" hidden="false" customHeight="false" outlineLevel="0" collapsed="false">
      <c r="A53" s="5" t="n">
        <v>48</v>
      </c>
      <c r="B53" s="5" t="s">
        <v>142</v>
      </c>
      <c r="C53" s="6" t="s">
        <v>143</v>
      </c>
      <c r="D53" s="5" t="s">
        <v>152</v>
      </c>
      <c r="E53" s="5" t="s">
        <v>62</v>
      </c>
      <c r="F53" s="6" t="s">
        <v>153</v>
      </c>
      <c r="G53" s="16" t="n">
        <v>0.016</v>
      </c>
      <c r="H53" s="6" t="s">
        <v>64</v>
      </c>
      <c r="I53" s="5" t="s">
        <v>8</v>
      </c>
      <c r="J53" s="5" t="n">
        <v>1</v>
      </c>
      <c r="K53" s="17" t="n">
        <f aca="false">INDEX(OD_NILAI,MATCH(I53,OD_KODE,0))</f>
        <v>13.5</v>
      </c>
      <c r="L53" s="8" t="n">
        <f aca="false">J53*K53</f>
        <v>13.5</v>
      </c>
      <c r="M53" s="8" t="n">
        <f aca="false">J53*PI()/4*K53^2</f>
        <v>143.138815279185</v>
      </c>
      <c r="N53" s="9"/>
    </row>
    <row r="54" customFormat="false" ht="26.85" hidden="false" customHeight="false" outlineLevel="0" collapsed="false">
      <c r="A54" s="5" t="n">
        <v>49</v>
      </c>
      <c r="B54" s="5" t="s">
        <v>142</v>
      </c>
      <c r="C54" s="6" t="s">
        <v>143</v>
      </c>
      <c r="D54" s="5" t="s">
        <v>154</v>
      </c>
      <c r="E54" s="5" t="s">
        <v>62</v>
      </c>
      <c r="F54" s="6" t="s">
        <v>155</v>
      </c>
      <c r="G54" s="16" t="n">
        <v>0.016</v>
      </c>
      <c r="H54" s="6" t="s">
        <v>64</v>
      </c>
      <c r="I54" s="5" t="s">
        <v>8</v>
      </c>
      <c r="J54" s="5" t="n">
        <v>1</v>
      </c>
      <c r="K54" s="17" t="n">
        <f aca="false">INDEX(OD_NILAI,MATCH(I54,OD_KODE,0))</f>
        <v>13.5</v>
      </c>
      <c r="L54" s="8" t="n">
        <f aca="false">J54*K54</f>
        <v>13.5</v>
      </c>
      <c r="M54" s="8" t="n">
        <f aca="false">J54*PI()/4*K54^2</f>
        <v>143.138815279185</v>
      </c>
      <c r="N54" s="9"/>
    </row>
    <row r="55" customFormat="false" ht="26.85" hidden="false" customHeight="false" outlineLevel="0" collapsed="false">
      <c r="A55" s="5" t="n">
        <v>50</v>
      </c>
      <c r="B55" s="5" t="s">
        <v>142</v>
      </c>
      <c r="C55" s="6" t="s">
        <v>143</v>
      </c>
      <c r="D55" s="5" t="s">
        <v>156</v>
      </c>
      <c r="E55" s="5" t="s">
        <v>62</v>
      </c>
      <c r="F55" s="6" t="s">
        <v>157</v>
      </c>
      <c r="G55" s="16" t="n">
        <v>7.61</v>
      </c>
      <c r="H55" s="6" t="s">
        <v>91</v>
      </c>
      <c r="I55" s="5" t="s">
        <v>11</v>
      </c>
      <c r="J55" s="5" t="n">
        <v>1</v>
      </c>
      <c r="K55" s="17" t="n">
        <f aca="false">INDEX(OD_NILAI,MATCH(I55,OD_KODE,0))</f>
        <v>16</v>
      </c>
      <c r="L55" s="8" t="n">
        <f aca="false">J55*K55</f>
        <v>16</v>
      </c>
      <c r="M55" s="8" t="n">
        <f aca="false">J55*PI()/4*K55^2</f>
        <v>201.061929829747</v>
      </c>
      <c r="N55" s="9"/>
    </row>
    <row r="56" customFormat="false" ht="26.85" hidden="false" customHeight="false" outlineLevel="0" collapsed="false">
      <c r="A56" s="5" t="n">
        <v>51</v>
      </c>
      <c r="B56" s="5" t="s">
        <v>142</v>
      </c>
      <c r="C56" s="6" t="s">
        <v>143</v>
      </c>
      <c r="D56" s="5" t="s">
        <v>158</v>
      </c>
      <c r="E56" s="5" t="s">
        <v>62</v>
      </c>
      <c r="F56" s="6" t="s">
        <v>159</v>
      </c>
      <c r="G56" s="16" t="n">
        <v>9.52</v>
      </c>
      <c r="H56" s="6" t="s">
        <v>91</v>
      </c>
      <c r="I56" s="5" t="s">
        <v>11</v>
      </c>
      <c r="J56" s="5" t="n">
        <v>1</v>
      </c>
      <c r="K56" s="17" t="n">
        <f aca="false">INDEX(OD_NILAI,MATCH(I56,OD_KODE,0))</f>
        <v>16</v>
      </c>
      <c r="L56" s="8" t="n">
        <f aca="false">J56*K56</f>
        <v>16</v>
      </c>
      <c r="M56" s="8" t="n">
        <f aca="false">J56*PI()/4*K56^2</f>
        <v>201.061929829747</v>
      </c>
      <c r="N56" s="9"/>
    </row>
    <row r="57" customFormat="false" ht="26.85" hidden="false" customHeight="false" outlineLevel="0" collapsed="false">
      <c r="A57" s="5" t="n">
        <v>52</v>
      </c>
      <c r="B57" s="5" t="s">
        <v>142</v>
      </c>
      <c r="C57" s="6" t="s">
        <v>143</v>
      </c>
      <c r="D57" s="5" t="s">
        <v>160</v>
      </c>
      <c r="E57" s="5" t="s">
        <v>62</v>
      </c>
      <c r="F57" s="6" t="s">
        <v>161</v>
      </c>
      <c r="G57" s="16" t="n">
        <v>7.5</v>
      </c>
      <c r="H57" s="6" t="s">
        <v>91</v>
      </c>
      <c r="I57" s="5" t="s">
        <v>11</v>
      </c>
      <c r="J57" s="5" t="n">
        <v>1</v>
      </c>
      <c r="K57" s="17" t="n">
        <f aca="false">INDEX(OD_NILAI,MATCH(I57,OD_KODE,0))</f>
        <v>16</v>
      </c>
      <c r="L57" s="8" t="n">
        <f aca="false">J57*K57</f>
        <v>16</v>
      </c>
      <c r="M57" s="8" t="n">
        <f aca="false">J57*PI()/4*K57^2</f>
        <v>201.061929829747</v>
      </c>
      <c r="N57" s="9"/>
    </row>
    <row r="58" customFormat="false" ht="26.85" hidden="false" customHeight="false" outlineLevel="0" collapsed="false">
      <c r="A58" s="5" t="n">
        <v>53</v>
      </c>
      <c r="B58" s="5" t="s">
        <v>142</v>
      </c>
      <c r="C58" s="6" t="s">
        <v>143</v>
      </c>
      <c r="D58" s="5" t="s">
        <v>162</v>
      </c>
      <c r="E58" s="5" t="s">
        <v>62</v>
      </c>
      <c r="F58" s="6" t="s">
        <v>163</v>
      </c>
      <c r="G58" s="16" t="n">
        <v>7.5</v>
      </c>
      <c r="H58" s="6" t="s">
        <v>91</v>
      </c>
      <c r="I58" s="5" t="s">
        <v>11</v>
      </c>
      <c r="J58" s="5" t="n">
        <v>1</v>
      </c>
      <c r="K58" s="17" t="n">
        <f aca="false">INDEX(OD_NILAI,MATCH(I58,OD_KODE,0))</f>
        <v>16</v>
      </c>
      <c r="L58" s="8" t="n">
        <f aca="false">J58*K58</f>
        <v>16</v>
      </c>
      <c r="M58" s="8" t="n">
        <f aca="false">J58*PI()/4*K58^2</f>
        <v>201.061929829747</v>
      </c>
      <c r="N58" s="9"/>
    </row>
    <row r="59" customFormat="false" ht="26.85" hidden="false" customHeight="false" outlineLevel="0" collapsed="false">
      <c r="A59" s="5" t="n">
        <v>54</v>
      </c>
      <c r="B59" s="5" t="s">
        <v>142</v>
      </c>
      <c r="C59" s="6" t="s">
        <v>143</v>
      </c>
      <c r="D59" s="5" t="s">
        <v>164</v>
      </c>
      <c r="E59" s="5" t="s">
        <v>62</v>
      </c>
      <c r="F59" s="6" t="s">
        <v>165</v>
      </c>
      <c r="G59" s="16" t="n">
        <v>0.55</v>
      </c>
      <c r="H59" s="6" t="s">
        <v>91</v>
      </c>
      <c r="I59" s="5" t="s">
        <v>11</v>
      </c>
      <c r="J59" s="5" t="n">
        <v>1</v>
      </c>
      <c r="K59" s="17" t="n">
        <f aca="false">INDEX(OD_NILAI,MATCH(I59,OD_KODE,0))</f>
        <v>16</v>
      </c>
      <c r="L59" s="8" t="n">
        <f aca="false">J59*K59</f>
        <v>16</v>
      </c>
      <c r="M59" s="8" t="n">
        <f aca="false">J59*PI()/4*K59^2</f>
        <v>201.061929829747</v>
      </c>
      <c r="N59" s="9"/>
    </row>
    <row r="60" customFormat="false" ht="26.85" hidden="false" customHeight="false" outlineLevel="0" collapsed="false">
      <c r="A60" s="5" t="n">
        <v>55</v>
      </c>
      <c r="B60" s="5" t="s">
        <v>142</v>
      </c>
      <c r="C60" s="6" t="s">
        <v>143</v>
      </c>
      <c r="D60" s="5" t="s">
        <v>166</v>
      </c>
      <c r="E60" s="5" t="s">
        <v>62</v>
      </c>
      <c r="F60" s="6" t="s">
        <v>167</v>
      </c>
      <c r="G60" s="16" t="n">
        <v>0.55</v>
      </c>
      <c r="H60" s="6" t="s">
        <v>91</v>
      </c>
      <c r="I60" s="5" t="s">
        <v>11</v>
      </c>
      <c r="J60" s="5" t="n">
        <v>1</v>
      </c>
      <c r="K60" s="17" t="n">
        <f aca="false">INDEX(OD_NILAI,MATCH(I60,OD_KODE,0))</f>
        <v>16</v>
      </c>
      <c r="L60" s="8" t="n">
        <f aca="false">J60*K60</f>
        <v>16</v>
      </c>
      <c r="M60" s="8" t="n">
        <f aca="false">J60*PI()/4*K60^2</f>
        <v>201.061929829747</v>
      </c>
      <c r="N60" s="9"/>
    </row>
    <row r="61" customFormat="false" ht="26.85" hidden="false" customHeight="false" outlineLevel="0" collapsed="false">
      <c r="A61" s="5" t="n">
        <v>56</v>
      </c>
      <c r="B61" s="5" t="s">
        <v>142</v>
      </c>
      <c r="C61" s="6" t="s">
        <v>143</v>
      </c>
      <c r="D61" s="5" t="s">
        <v>168</v>
      </c>
      <c r="E61" s="5" t="s">
        <v>62</v>
      </c>
      <c r="F61" s="6" t="s">
        <v>117</v>
      </c>
      <c r="G61" s="16" t="n">
        <v>0</v>
      </c>
      <c r="H61" s="6" t="s">
        <v>118</v>
      </c>
      <c r="I61" s="5"/>
      <c r="J61" s="5" t="n">
        <v>0</v>
      </c>
      <c r="K61" s="8" t="n">
        <v>0</v>
      </c>
      <c r="L61" s="8" t="n">
        <f aca="false">J61*K61</f>
        <v>0</v>
      </c>
      <c r="M61" s="8" t="n">
        <f aca="false">J61*PI()/4*K61^2</f>
        <v>0</v>
      </c>
      <c r="N61" s="9" t="s">
        <v>119</v>
      </c>
    </row>
    <row r="62" customFormat="false" ht="26.85" hidden="false" customHeight="false" outlineLevel="0" collapsed="false">
      <c r="A62" s="5" t="n">
        <v>57</v>
      </c>
      <c r="B62" s="5" t="s">
        <v>142</v>
      </c>
      <c r="C62" s="6" t="s">
        <v>143</v>
      </c>
      <c r="D62" s="5" t="s">
        <v>169</v>
      </c>
      <c r="E62" s="5" t="s">
        <v>62</v>
      </c>
      <c r="F62" s="6" t="s">
        <v>117</v>
      </c>
      <c r="G62" s="16" t="n">
        <v>0</v>
      </c>
      <c r="H62" s="6" t="s">
        <v>118</v>
      </c>
      <c r="I62" s="5"/>
      <c r="J62" s="5" t="n">
        <v>0</v>
      </c>
      <c r="K62" s="8" t="n">
        <v>0</v>
      </c>
      <c r="L62" s="8" t="n">
        <f aca="false">J62*K62</f>
        <v>0</v>
      </c>
      <c r="M62" s="8" t="n">
        <f aca="false">J62*PI()/4*K62^2</f>
        <v>0</v>
      </c>
      <c r="N62" s="9" t="s">
        <v>119</v>
      </c>
    </row>
    <row r="63" customFormat="false" ht="26.85" hidden="false" customHeight="false" outlineLevel="0" collapsed="false">
      <c r="A63" s="5" t="n">
        <v>58</v>
      </c>
      <c r="B63" s="5" t="s">
        <v>142</v>
      </c>
      <c r="C63" s="6" t="s">
        <v>143</v>
      </c>
      <c r="D63" s="5" t="s">
        <v>170</v>
      </c>
      <c r="E63" s="5" t="s">
        <v>62</v>
      </c>
      <c r="F63" s="6" t="s">
        <v>117</v>
      </c>
      <c r="G63" s="16" t="n">
        <v>0</v>
      </c>
      <c r="H63" s="6" t="s">
        <v>118</v>
      </c>
      <c r="I63" s="5"/>
      <c r="J63" s="5" t="n">
        <v>0</v>
      </c>
      <c r="K63" s="8" t="n">
        <v>0</v>
      </c>
      <c r="L63" s="8" t="n">
        <f aca="false">J63*K63</f>
        <v>0</v>
      </c>
      <c r="M63" s="8" t="n">
        <f aca="false">J63*PI()/4*K63^2</f>
        <v>0</v>
      </c>
      <c r="N63" s="9" t="s">
        <v>119</v>
      </c>
    </row>
    <row r="64" customFormat="false" ht="26.85" hidden="false" customHeight="false" outlineLevel="0" collapsed="false">
      <c r="A64" s="10" t="n">
        <v>59</v>
      </c>
      <c r="B64" s="10" t="s">
        <v>171</v>
      </c>
      <c r="C64" s="11" t="s">
        <v>172</v>
      </c>
      <c r="D64" s="10" t="s">
        <v>51</v>
      </c>
      <c r="E64" s="10" t="s">
        <v>52</v>
      </c>
      <c r="F64" s="11" t="s">
        <v>53</v>
      </c>
      <c r="G64" s="12" t="n">
        <v>0</v>
      </c>
      <c r="H64" s="11" t="s">
        <v>33</v>
      </c>
      <c r="I64" s="10" t="s">
        <v>32</v>
      </c>
      <c r="J64" s="10" t="n">
        <v>1</v>
      </c>
      <c r="K64" s="13" t="n">
        <f aca="false">INDEX(OD_NILAI,MATCH(I64,OD_KODE,0))</f>
        <v>11</v>
      </c>
      <c r="L64" s="14" t="n">
        <f aca="false">J64*K64</f>
        <v>11</v>
      </c>
      <c r="M64" s="14" t="n">
        <f aca="false">J64*PI()/4*K64^2</f>
        <v>95.0331777710913</v>
      </c>
      <c r="N64" s="15" t="s">
        <v>54</v>
      </c>
    </row>
    <row r="65" customFormat="false" ht="26.85" hidden="false" customHeight="false" outlineLevel="0" collapsed="false">
      <c r="A65" s="10" t="n">
        <v>60</v>
      </c>
      <c r="B65" s="10" t="s">
        <v>171</v>
      </c>
      <c r="C65" s="11" t="s">
        <v>172</v>
      </c>
      <c r="D65" s="10" t="s">
        <v>52</v>
      </c>
      <c r="E65" s="10" t="s">
        <v>52</v>
      </c>
      <c r="F65" s="11" t="s">
        <v>55</v>
      </c>
      <c r="G65" s="12" t="n">
        <v>0</v>
      </c>
      <c r="H65" s="11" t="s">
        <v>144</v>
      </c>
      <c r="I65" s="10" t="s">
        <v>17</v>
      </c>
      <c r="J65" s="10" t="n">
        <v>1</v>
      </c>
      <c r="K65" s="13" t="n">
        <f aca="false">INDEX(OD_NILAI,MATCH(I65,OD_KODE,0))</f>
        <v>27.5</v>
      </c>
      <c r="L65" s="14" t="n">
        <f aca="false">J65*K65</f>
        <v>27.5</v>
      </c>
      <c r="M65" s="14" t="n">
        <f aca="false">J65*PI()/4*K65^2</f>
        <v>593.95736106932</v>
      </c>
      <c r="N65" s="15" t="s">
        <v>173</v>
      </c>
    </row>
    <row r="66" customFormat="false" ht="26.85" hidden="false" customHeight="false" outlineLevel="0" collapsed="false">
      <c r="A66" s="10" t="n">
        <v>61</v>
      </c>
      <c r="B66" s="10" t="s">
        <v>171</v>
      </c>
      <c r="C66" s="11" t="s">
        <v>172</v>
      </c>
      <c r="D66" s="10" t="s">
        <v>58</v>
      </c>
      <c r="E66" s="10" t="s">
        <v>52</v>
      </c>
      <c r="F66" s="11" t="s">
        <v>55</v>
      </c>
      <c r="G66" s="12" t="n">
        <v>0</v>
      </c>
      <c r="H66" s="11" t="s">
        <v>146</v>
      </c>
      <c r="I66" s="10" t="s">
        <v>26</v>
      </c>
      <c r="J66" s="10" t="n">
        <v>1</v>
      </c>
      <c r="K66" s="13" t="n">
        <f aca="false">INDEX(OD_NILAI,MATCH(I66,OD_KODE,0))</f>
        <v>8</v>
      </c>
      <c r="L66" s="14" t="n">
        <f aca="false">J66*K66</f>
        <v>8</v>
      </c>
      <c r="M66" s="14" t="n">
        <f aca="false">J66*PI()/4*K66^2</f>
        <v>50.2654824574367</v>
      </c>
      <c r="N66" s="15" t="s">
        <v>147</v>
      </c>
    </row>
    <row r="67" customFormat="false" ht="26.85" hidden="false" customHeight="false" outlineLevel="0" collapsed="false">
      <c r="A67" s="5" t="n">
        <v>62</v>
      </c>
      <c r="B67" s="5" t="s">
        <v>171</v>
      </c>
      <c r="C67" s="6" t="s">
        <v>172</v>
      </c>
      <c r="D67" s="5" t="s">
        <v>174</v>
      </c>
      <c r="E67" s="5" t="s">
        <v>62</v>
      </c>
      <c r="F67" s="6" t="s">
        <v>175</v>
      </c>
      <c r="G67" s="16" t="n">
        <v>9.52</v>
      </c>
      <c r="H67" s="6" t="s">
        <v>91</v>
      </c>
      <c r="I67" s="5" t="s">
        <v>11</v>
      </c>
      <c r="J67" s="5" t="n">
        <v>1</v>
      </c>
      <c r="K67" s="17" t="n">
        <f aca="false">INDEX(OD_NILAI,MATCH(I67,OD_KODE,0))</f>
        <v>16</v>
      </c>
      <c r="L67" s="8" t="n">
        <f aca="false">J67*K67</f>
        <v>16</v>
      </c>
      <c r="M67" s="8" t="n">
        <f aca="false">J67*PI()/4*K67^2</f>
        <v>201.061929829747</v>
      </c>
      <c r="N67" s="9"/>
    </row>
    <row r="68" customFormat="false" ht="26.85" hidden="false" customHeight="false" outlineLevel="0" collapsed="false">
      <c r="A68" s="5" t="n">
        <v>63</v>
      </c>
      <c r="B68" s="5" t="s">
        <v>171</v>
      </c>
      <c r="C68" s="6" t="s">
        <v>172</v>
      </c>
      <c r="D68" s="5" t="s">
        <v>176</v>
      </c>
      <c r="E68" s="5" t="s">
        <v>62</v>
      </c>
      <c r="F68" s="6" t="s">
        <v>177</v>
      </c>
      <c r="G68" s="16" t="n">
        <v>9.52</v>
      </c>
      <c r="H68" s="6" t="s">
        <v>91</v>
      </c>
      <c r="I68" s="5" t="s">
        <v>11</v>
      </c>
      <c r="J68" s="5" t="n">
        <v>1</v>
      </c>
      <c r="K68" s="17" t="n">
        <f aca="false">INDEX(OD_NILAI,MATCH(I68,OD_KODE,0))</f>
        <v>16</v>
      </c>
      <c r="L68" s="8" t="n">
        <f aca="false">J68*K68</f>
        <v>16</v>
      </c>
      <c r="M68" s="8" t="n">
        <f aca="false">J68*PI()/4*K68^2</f>
        <v>201.061929829747</v>
      </c>
      <c r="N68" s="9"/>
    </row>
    <row r="69" customFormat="false" ht="26.85" hidden="false" customHeight="false" outlineLevel="0" collapsed="false">
      <c r="A69" s="5" t="n">
        <v>64</v>
      </c>
      <c r="B69" s="5" t="s">
        <v>171</v>
      </c>
      <c r="C69" s="6" t="s">
        <v>172</v>
      </c>
      <c r="D69" s="5" t="s">
        <v>178</v>
      </c>
      <c r="E69" s="5" t="s">
        <v>62</v>
      </c>
      <c r="F69" s="6" t="s">
        <v>179</v>
      </c>
      <c r="G69" s="16" t="n">
        <v>7.5</v>
      </c>
      <c r="H69" s="6" t="s">
        <v>91</v>
      </c>
      <c r="I69" s="5" t="s">
        <v>11</v>
      </c>
      <c r="J69" s="5" t="n">
        <v>1</v>
      </c>
      <c r="K69" s="17" t="n">
        <f aca="false">INDEX(OD_NILAI,MATCH(I69,OD_KODE,0))</f>
        <v>16</v>
      </c>
      <c r="L69" s="8" t="n">
        <f aca="false">J69*K69</f>
        <v>16</v>
      </c>
      <c r="M69" s="8" t="n">
        <f aca="false">J69*PI()/4*K69^2</f>
        <v>201.061929829747</v>
      </c>
      <c r="N69" s="9"/>
    </row>
    <row r="70" customFormat="false" ht="26.85" hidden="false" customHeight="false" outlineLevel="0" collapsed="false">
      <c r="A70" s="5" t="n">
        <v>65</v>
      </c>
      <c r="B70" s="5" t="s">
        <v>171</v>
      </c>
      <c r="C70" s="6" t="s">
        <v>172</v>
      </c>
      <c r="D70" s="5" t="s">
        <v>180</v>
      </c>
      <c r="E70" s="5" t="s">
        <v>62</v>
      </c>
      <c r="F70" s="6" t="s">
        <v>117</v>
      </c>
      <c r="G70" s="16" t="n">
        <v>0</v>
      </c>
      <c r="H70" s="6" t="s">
        <v>118</v>
      </c>
      <c r="I70" s="5"/>
      <c r="J70" s="5" t="n">
        <v>0</v>
      </c>
      <c r="K70" s="8" t="n">
        <v>0</v>
      </c>
      <c r="L70" s="8" t="n">
        <f aca="false">J70*K70</f>
        <v>0</v>
      </c>
      <c r="M70" s="8" t="n">
        <f aca="false">J70*PI()/4*K70^2</f>
        <v>0</v>
      </c>
      <c r="N70" s="9" t="s">
        <v>119</v>
      </c>
    </row>
    <row r="71" customFormat="false" ht="26.85" hidden="false" customHeight="false" outlineLevel="0" collapsed="false">
      <c r="A71" s="5" t="n">
        <v>66</v>
      </c>
      <c r="B71" s="5" t="s">
        <v>171</v>
      </c>
      <c r="C71" s="6" t="s">
        <v>172</v>
      </c>
      <c r="D71" s="5" t="s">
        <v>181</v>
      </c>
      <c r="E71" s="5" t="s">
        <v>62</v>
      </c>
      <c r="F71" s="6" t="s">
        <v>117</v>
      </c>
      <c r="G71" s="16" t="n">
        <v>0</v>
      </c>
      <c r="H71" s="6" t="s">
        <v>118</v>
      </c>
      <c r="I71" s="5"/>
      <c r="J71" s="5" t="n">
        <v>0</v>
      </c>
      <c r="K71" s="8" t="n">
        <v>0</v>
      </c>
      <c r="L71" s="8" t="n">
        <f aca="false">J71*K71</f>
        <v>0</v>
      </c>
      <c r="M71" s="8" t="n">
        <f aca="false">J71*PI()/4*K71^2</f>
        <v>0</v>
      </c>
      <c r="N71" s="9" t="s">
        <v>119</v>
      </c>
    </row>
    <row r="72" customFormat="false" ht="26.85" hidden="false" customHeight="false" outlineLevel="0" collapsed="false">
      <c r="A72" s="5" t="n">
        <v>67</v>
      </c>
      <c r="B72" s="5" t="s">
        <v>171</v>
      </c>
      <c r="C72" s="6" t="s">
        <v>172</v>
      </c>
      <c r="D72" s="5" t="s">
        <v>182</v>
      </c>
      <c r="E72" s="5" t="s">
        <v>62</v>
      </c>
      <c r="F72" s="6" t="s">
        <v>117</v>
      </c>
      <c r="G72" s="16" t="n">
        <v>0</v>
      </c>
      <c r="H72" s="6" t="s">
        <v>118</v>
      </c>
      <c r="I72" s="5"/>
      <c r="J72" s="5" t="n">
        <v>0</v>
      </c>
      <c r="K72" s="8" t="n">
        <v>0</v>
      </c>
      <c r="L72" s="8" t="n">
        <f aca="false">J72*K72</f>
        <v>0</v>
      </c>
      <c r="M72" s="8" t="n">
        <f aca="false">J72*PI()/4*K72^2</f>
        <v>0</v>
      </c>
      <c r="N72" s="9" t="s">
        <v>119</v>
      </c>
    </row>
    <row r="73" customFormat="false" ht="15" hidden="false" customHeight="false" outlineLevel="0" collapsed="false">
      <c r="A73" s="18" t="s">
        <v>183</v>
      </c>
      <c r="B73" s="18"/>
      <c r="C73" s="18"/>
      <c r="D73" s="18"/>
      <c r="E73" s="18"/>
      <c r="F73" s="18"/>
      <c r="G73" s="19" t="n">
        <f aca="false">SUM(G6:G72)</f>
        <v>128.171</v>
      </c>
      <c r="H73" s="20"/>
      <c r="I73" s="20"/>
      <c r="J73" s="21" t="n">
        <f aca="false">SUM(J6:J72)</f>
        <v>55</v>
      </c>
      <c r="K73" s="20"/>
      <c r="L73" s="22" t="n">
        <f aca="false">SUM(L6:L72)</f>
        <v>797</v>
      </c>
      <c r="M73" s="22" t="n">
        <f aca="false">SUM(M6:M72)</f>
        <v>9842.60978369682</v>
      </c>
      <c r="N73" s="20"/>
    </row>
  </sheetData>
  <autoFilter ref="A5:N72"/>
  <mergeCells count="1">
    <mergeCell ref="A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7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184</v>
      </c>
    </row>
    <row r="3" customFormat="false" ht="15" hidden="false" customHeight="false" outlineLevel="0" collapsed="false">
      <c r="A3" s="23" t="s">
        <v>185</v>
      </c>
    </row>
    <row r="4" customFormat="false" ht="26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45</v>
      </c>
      <c r="E4" s="4" t="s">
        <v>46</v>
      </c>
      <c r="F4" s="4" t="s">
        <v>47</v>
      </c>
      <c r="G4" s="4" t="s">
        <v>186</v>
      </c>
    </row>
    <row r="5" customFormat="false" ht="15" hidden="false" customHeight="false" outlineLevel="0" collapsed="false">
      <c r="A5" s="5" t="s">
        <v>8</v>
      </c>
      <c r="B5" s="6" t="s">
        <v>9</v>
      </c>
      <c r="C5" s="17" t="n">
        <f aca="false">INDEX(OD_NILAI,MATCH(A5,OD_KODE,0))</f>
        <v>13.5</v>
      </c>
      <c r="D5" s="5" t="n">
        <f aca="false">SUMIF('CABLE SCHEDULE'!$I$6:$I$72,A5,'CABLE SCHEDULE'!$J$6:$J$72)</f>
        <v>33</v>
      </c>
      <c r="E5" s="8" t="n">
        <f aca="false">SUMIF('CABLE SCHEDULE'!$I$6:$I$72,A5,'CABLE SCHEDULE'!$L$6:$L$72)</f>
        <v>445.5</v>
      </c>
      <c r="F5" s="8" t="n">
        <f aca="false">SUMIF('CABLE SCHEDULE'!$I$6:$I$72,A5,'CABLE SCHEDULE'!$M$6:$M$72)</f>
        <v>4723.5809042131</v>
      </c>
      <c r="G5" s="24" t="n">
        <f aca="false">IFERROR(E5/$E$14,0)</f>
        <v>0.558971141781681</v>
      </c>
    </row>
    <row r="6" customFormat="false" ht="15" hidden="false" customHeight="false" outlineLevel="0" collapsed="false">
      <c r="A6" s="5" t="s">
        <v>11</v>
      </c>
      <c r="B6" s="6" t="s">
        <v>12</v>
      </c>
      <c r="C6" s="17" t="n">
        <f aca="false">INDEX(OD_NILAI,MATCH(A6,OD_KODE,0))</f>
        <v>16</v>
      </c>
      <c r="D6" s="5" t="n">
        <f aca="false">SUMIF('CABLE SCHEDULE'!$I$6:$I$72,A6,'CABLE SCHEDULE'!$J$6:$J$72)</f>
        <v>12</v>
      </c>
      <c r="E6" s="8" t="n">
        <f aca="false">SUMIF('CABLE SCHEDULE'!$I$6:$I$72,A6,'CABLE SCHEDULE'!$L$6:$L$72)</f>
        <v>192</v>
      </c>
      <c r="F6" s="8" t="n">
        <f aca="false">SUMIF('CABLE SCHEDULE'!$I$6:$I$72,A6,'CABLE SCHEDULE'!$M$6:$M$72)</f>
        <v>2412.74315795696</v>
      </c>
      <c r="G6" s="24" t="n">
        <f aca="false">IFERROR(E6/$E$14,0)</f>
        <v>0.24090338770389</v>
      </c>
    </row>
    <row r="7" customFormat="false" ht="15" hidden="false" customHeight="false" outlineLevel="0" collapsed="false">
      <c r="A7" s="5" t="s">
        <v>14</v>
      </c>
      <c r="B7" s="6" t="s">
        <v>15</v>
      </c>
      <c r="C7" s="17" t="n">
        <f aca="false">INDEX(OD_NILAI,MATCH(A7,OD_KODE,0))</f>
        <v>16</v>
      </c>
      <c r="D7" s="5" t="n">
        <f aca="false">SUMIF('CABLE SCHEDULE'!$I$6:$I$72,A7,'CABLE SCHEDULE'!$J$6:$J$72)</f>
        <v>1</v>
      </c>
      <c r="E7" s="8" t="n">
        <f aca="false">SUMIF('CABLE SCHEDULE'!$I$6:$I$72,A7,'CABLE SCHEDULE'!$L$6:$L$72)</f>
        <v>16</v>
      </c>
      <c r="F7" s="8" t="n">
        <f aca="false">SUMIF('CABLE SCHEDULE'!$I$6:$I$72,A7,'CABLE SCHEDULE'!$M$6:$M$72)</f>
        <v>201.061929829747</v>
      </c>
      <c r="G7" s="24" t="n">
        <f aca="false">IFERROR(E7/$E$14,0)</f>
        <v>0.0200752823086575</v>
      </c>
    </row>
    <row r="8" customFormat="false" ht="15" hidden="false" customHeight="false" outlineLevel="0" collapsed="false">
      <c r="A8" s="5" t="s">
        <v>17</v>
      </c>
      <c r="B8" s="6" t="s">
        <v>18</v>
      </c>
      <c r="C8" s="17" t="n">
        <f aca="false">INDEX(OD_NILAI,MATCH(A8,OD_KODE,0))</f>
        <v>27.5</v>
      </c>
      <c r="D8" s="5" t="n">
        <f aca="false">SUMIF('CABLE SCHEDULE'!$I$6:$I$72,A8,'CABLE SCHEDULE'!$J$6:$J$72)</f>
        <v>2</v>
      </c>
      <c r="E8" s="8" t="n">
        <f aca="false">SUMIF('CABLE SCHEDULE'!$I$6:$I$72,A8,'CABLE SCHEDULE'!$L$6:$L$72)</f>
        <v>55</v>
      </c>
      <c r="F8" s="8" t="n">
        <f aca="false">SUMIF('CABLE SCHEDULE'!$I$6:$I$72,A8,'CABLE SCHEDULE'!$M$6:$M$72)</f>
        <v>1187.91472213864</v>
      </c>
      <c r="G8" s="24" t="n">
        <f aca="false">IFERROR(E8/$E$14,0)</f>
        <v>0.06900878293601</v>
      </c>
    </row>
    <row r="9" customFormat="false" ht="15" hidden="false" customHeight="false" outlineLevel="0" collapsed="false">
      <c r="A9" s="5" t="s">
        <v>20</v>
      </c>
      <c r="B9" s="6" t="s">
        <v>21</v>
      </c>
      <c r="C9" s="17" t="n">
        <f aca="false">INDEX(OD_NILAI,MATCH(A9,OD_KODE,0))</f>
        <v>34</v>
      </c>
      <c r="D9" s="5" t="n">
        <f aca="false">SUMIF('CABLE SCHEDULE'!$I$6:$I$72,A9,'CABLE SCHEDULE'!$J$6:$J$72)</f>
        <v>1</v>
      </c>
      <c r="E9" s="8" t="n">
        <f aca="false">SUMIF('CABLE SCHEDULE'!$I$6:$I$72,A9,'CABLE SCHEDULE'!$L$6:$L$72)</f>
        <v>34</v>
      </c>
      <c r="F9" s="8" t="n">
        <f aca="false">SUMIF('CABLE SCHEDULE'!$I$6:$I$72,A9,'CABLE SCHEDULE'!$M$6:$M$72)</f>
        <v>907.92027688745</v>
      </c>
      <c r="G9" s="24" t="n">
        <f aca="false">IFERROR(E9/$E$14,0)</f>
        <v>0.0426599749058971</v>
      </c>
    </row>
    <row r="10" customFormat="false" ht="15" hidden="false" customHeight="false" outlineLevel="0" collapsed="false">
      <c r="A10" s="5" t="s">
        <v>23</v>
      </c>
      <c r="B10" s="6" t="s">
        <v>24</v>
      </c>
      <c r="C10" s="17" t="n">
        <f aca="false">INDEX(OD_NILAI,MATCH(A10,OD_KODE,0))</f>
        <v>5.5</v>
      </c>
      <c r="D10" s="5" t="n">
        <f aca="false">SUMIF('CABLE SCHEDULE'!$I$6:$I$72,A10,'CABLE SCHEDULE'!$J$6:$J$72)</f>
        <v>1</v>
      </c>
      <c r="E10" s="8" t="n">
        <f aca="false">SUMIF('CABLE SCHEDULE'!$I$6:$I$72,A10,'CABLE SCHEDULE'!$L$6:$L$72)</f>
        <v>5.5</v>
      </c>
      <c r="F10" s="8" t="n">
        <f aca="false">SUMIF('CABLE SCHEDULE'!$I$6:$I$72,A10,'CABLE SCHEDULE'!$M$6:$M$72)</f>
        <v>23.7582944427728</v>
      </c>
      <c r="G10" s="24" t="n">
        <f aca="false">IFERROR(E10/$E$14,0)</f>
        <v>0.006900878293601</v>
      </c>
    </row>
    <row r="11" customFormat="false" ht="15" hidden="false" customHeight="false" outlineLevel="0" collapsed="false">
      <c r="A11" s="5" t="s">
        <v>26</v>
      </c>
      <c r="B11" s="6" t="s">
        <v>27</v>
      </c>
      <c r="C11" s="17" t="n">
        <f aca="false">INDEX(OD_NILAI,MATCH(A11,OD_KODE,0))</f>
        <v>8</v>
      </c>
      <c r="D11" s="5" t="n">
        <f aca="false">SUMIF('CABLE SCHEDULE'!$I$6:$I$72,A11,'CABLE SCHEDULE'!$J$6:$J$72)</f>
        <v>2</v>
      </c>
      <c r="E11" s="8" t="n">
        <f aca="false">SUMIF('CABLE SCHEDULE'!$I$6:$I$72,A11,'CABLE SCHEDULE'!$L$6:$L$72)</f>
        <v>16</v>
      </c>
      <c r="F11" s="8" t="n">
        <f aca="false">SUMIF('CABLE SCHEDULE'!$I$6:$I$72,A11,'CABLE SCHEDULE'!$M$6:$M$72)</f>
        <v>100.530964914873</v>
      </c>
      <c r="G11" s="24" t="n">
        <f aca="false">IFERROR(E11/$E$14,0)</f>
        <v>0.0200752823086575</v>
      </c>
    </row>
    <row r="12" customFormat="false" ht="15" hidden="false" customHeight="false" outlineLevel="0" collapsed="false">
      <c r="A12" s="5" t="s">
        <v>29</v>
      </c>
      <c r="B12" s="6" t="s">
        <v>30</v>
      </c>
      <c r="C12" s="17" t="n">
        <f aca="false">INDEX(OD_NILAI,MATCH(A12,OD_KODE,0))</f>
        <v>11</v>
      </c>
      <c r="D12" s="5" t="n">
        <f aca="false">SUMIF('CABLE SCHEDULE'!$I$6:$I$72,A12,'CABLE SCHEDULE'!$J$6:$J$72)</f>
        <v>1</v>
      </c>
      <c r="E12" s="8" t="n">
        <f aca="false">SUMIF('CABLE SCHEDULE'!$I$6:$I$72,A12,'CABLE SCHEDULE'!$L$6:$L$72)</f>
        <v>11</v>
      </c>
      <c r="F12" s="8" t="n">
        <f aca="false">SUMIF('CABLE SCHEDULE'!$I$6:$I$72,A12,'CABLE SCHEDULE'!$M$6:$M$72)</f>
        <v>95.0331777710913</v>
      </c>
      <c r="G12" s="24" t="n">
        <f aca="false">IFERROR(E12/$E$14,0)</f>
        <v>0.013801756587202</v>
      </c>
    </row>
    <row r="13" customFormat="false" ht="15" hidden="false" customHeight="false" outlineLevel="0" collapsed="false">
      <c r="A13" s="5" t="s">
        <v>32</v>
      </c>
      <c r="B13" s="6" t="s">
        <v>33</v>
      </c>
      <c r="C13" s="17" t="n">
        <f aca="false">INDEX(OD_NILAI,MATCH(A13,OD_KODE,0))</f>
        <v>11</v>
      </c>
      <c r="D13" s="5" t="n">
        <f aca="false">SUMIF('CABLE SCHEDULE'!$I$6:$I$72,A13,'CABLE SCHEDULE'!$J$6:$J$72)</f>
        <v>2</v>
      </c>
      <c r="E13" s="8" t="n">
        <f aca="false">SUMIF('CABLE SCHEDULE'!$I$6:$I$72,A13,'CABLE SCHEDULE'!$L$6:$L$72)</f>
        <v>22</v>
      </c>
      <c r="F13" s="8" t="n">
        <f aca="false">SUMIF('CABLE SCHEDULE'!$I$6:$I$72,A13,'CABLE SCHEDULE'!$M$6:$M$72)</f>
        <v>190.066355542183</v>
      </c>
      <c r="G13" s="24" t="n">
        <f aca="false">IFERROR(E13/$E$14,0)</f>
        <v>0.027603513174404</v>
      </c>
    </row>
    <row r="14" customFormat="false" ht="15" hidden="false" customHeight="false" outlineLevel="0" collapsed="false">
      <c r="A14" s="18" t="s">
        <v>183</v>
      </c>
      <c r="B14" s="18"/>
      <c r="C14" s="18"/>
      <c r="D14" s="21" t="n">
        <f aca="false">SUM(D5:D13)</f>
        <v>55</v>
      </c>
      <c r="E14" s="22" t="n">
        <f aca="false">SUM(E5:E13)</f>
        <v>797</v>
      </c>
      <c r="F14" s="22" t="n">
        <f aca="false">SUM(F5:F13)</f>
        <v>9842.60978369682</v>
      </c>
      <c r="G14" s="25" t="n">
        <f aca="false">IFERROR(E14/E14,0)</f>
        <v>1</v>
      </c>
    </row>
    <row r="16" customFormat="false" ht="15" hidden="false" customHeight="false" outlineLevel="0" collapsed="false">
      <c r="A16" s="23" t="s">
        <v>187</v>
      </c>
    </row>
    <row r="17" customFormat="false" ht="39.55" hidden="false" customHeight="false" outlineLevel="0" collapsed="false">
      <c r="A17" s="4" t="s">
        <v>40</v>
      </c>
      <c r="B17" s="4" t="s">
        <v>39</v>
      </c>
      <c r="C17" s="4" t="s">
        <v>188</v>
      </c>
      <c r="D17" s="4" t="s">
        <v>45</v>
      </c>
      <c r="E17" s="4" t="s">
        <v>189</v>
      </c>
      <c r="F17" s="4" t="s">
        <v>46</v>
      </c>
      <c r="G17" s="4" t="s">
        <v>47</v>
      </c>
    </row>
    <row r="18" customFormat="false" ht="15" hidden="false" customHeight="false" outlineLevel="0" collapsed="false">
      <c r="A18" s="6" t="s">
        <v>50</v>
      </c>
      <c r="B18" s="5" t="s">
        <v>49</v>
      </c>
      <c r="C18" s="5" t="n">
        <f aca="false">COUNTIF('CABLE SCHEDULE'!$C$6:$C$72,A18)</f>
        <v>32</v>
      </c>
      <c r="D18" s="5" t="n">
        <f aca="false">SUMIF('CABLE SCHEDULE'!$C$6:$C$72,A18,'CABLE SCHEDULE'!$J$6:$J$72)</f>
        <v>29</v>
      </c>
      <c r="E18" s="16" t="n">
        <f aca="false">SUMIF('CABLE SCHEDULE'!$C$6:$C$72,A18,'CABLE SCHEDULE'!$G$6:$G$72)</f>
        <v>60.669</v>
      </c>
      <c r="F18" s="8" t="n">
        <f aca="false">SUMIF('CABLE SCHEDULE'!$C$6:$C$72,A18,'CABLE SCHEDULE'!$L$6:$L$72)</f>
        <v>414.5</v>
      </c>
      <c r="G18" s="8" t="n">
        <f aca="false">SUMIF('CABLE SCHEDULE'!$C$6:$C$72,A18,'CABLE SCHEDULE'!$M$6:$M$72)</f>
        <v>4993.36517334013</v>
      </c>
    </row>
    <row r="19" customFormat="false" ht="15" hidden="false" customHeight="false" outlineLevel="0" collapsed="false">
      <c r="A19" s="6" t="s">
        <v>122</v>
      </c>
      <c r="B19" s="5" t="s">
        <v>49</v>
      </c>
      <c r="C19" s="5" t="n">
        <f aca="false">COUNTIF('CABLE SCHEDULE'!$C$6:$C$72,A19)</f>
        <v>11</v>
      </c>
      <c r="D19" s="5" t="n">
        <f aca="false">SUMIF('CABLE SCHEDULE'!$C$6:$C$72,A19,'CABLE SCHEDULE'!$J$6:$J$72)</f>
        <v>8</v>
      </c>
      <c r="E19" s="16" t="n">
        <f aca="false">SUMIF('CABLE SCHEDULE'!$C$6:$C$72,A19,'CABLE SCHEDULE'!$G$6:$G$72)</f>
        <v>7.4</v>
      </c>
      <c r="F19" s="8" t="n">
        <f aca="false">SUMIF('CABLE SCHEDULE'!$C$6:$C$72,A19,'CABLE SCHEDULE'!$L$6:$L$72)</f>
        <v>102.5</v>
      </c>
      <c r="G19" s="8" t="n">
        <f aca="false">SUMIF('CABLE SCHEDULE'!$C$6:$C$72,A19,'CABLE SCHEDULE'!$M$6:$M$72)</f>
        <v>1083.65311594763</v>
      </c>
    </row>
    <row r="20" customFormat="false" ht="15" hidden="false" customHeight="false" outlineLevel="0" collapsed="false">
      <c r="A20" s="6" t="s">
        <v>143</v>
      </c>
      <c r="B20" s="5" t="s">
        <v>142</v>
      </c>
      <c r="C20" s="5" t="n">
        <f aca="false">COUNTIF('CABLE SCHEDULE'!$C$6:$C$72,A20)</f>
        <v>15</v>
      </c>
      <c r="D20" s="5" t="n">
        <f aca="false">SUMIF('CABLE SCHEDULE'!$C$6:$C$72,A20,'CABLE SCHEDULE'!$J$6:$J$72)</f>
        <v>12</v>
      </c>
      <c r="E20" s="16" t="n">
        <f aca="false">SUMIF('CABLE SCHEDULE'!$C$6:$C$72,A20,'CABLE SCHEDULE'!$G$6:$G$72)</f>
        <v>33.562</v>
      </c>
      <c r="F20" s="8" t="n">
        <f aca="false">SUMIF('CABLE SCHEDULE'!$C$6:$C$72,A20,'CABLE SCHEDULE'!$L$6:$L$72)</f>
        <v>185.5</v>
      </c>
      <c r="G20" s="8" t="n">
        <f aca="false">SUMIF('CABLE SCHEDULE'!$C$6:$C$72,A20,'CABLE SCHEDULE'!$M$6:$M$72)</f>
        <v>2423.14968362198</v>
      </c>
    </row>
    <row r="21" customFormat="false" ht="15" hidden="false" customHeight="false" outlineLevel="0" collapsed="false">
      <c r="A21" s="6" t="s">
        <v>172</v>
      </c>
      <c r="B21" s="5" t="s">
        <v>171</v>
      </c>
      <c r="C21" s="5" t="n">
        <f aca="false">COUNTIF('CABLE SCHEDULE'!$C$6:$C$72,A21)</f>
        <v>9</v>
      </c>
      <c r="D21" s="5" t="n">
        <f aca="false">SUMIF('CABLE SCHEDULE'!$C$6:$C$72,A21,'CABLE SCHEDULE'!$J$6:$J$72)</f>
        <v>6</v>
      </c>
      <c r="E21" s="16" t="n">
        <f aca="false">SUMIF('CABLE SCHEDULE'!$C$6:$C$72,A21,'CABLE SCHEDULE'!$G$6:$G$72)</f>
        <v>26.54</v>
      </c>
      <c r="F21" s="8" t="n">
        <f aca="false">SUMIF('CABLE SCHEDULE'!$C$6:$C$72,A21,'CABLE SCHEDULE'!$L$6:$L$72)</f>
        <v>94.5</v>
      </c>
      <c r="G21" s="8" t="n">
        <f aca="false">SUMIF('CABLE SCHEDULE'!$C$6:$C$72,A21,'CABLE SCHEDULE'!$M$6:$M$72)</f>
        <v>1342.44181078709</v>
      </c>
    </row>
    <row r="22" customFormat="false" ht="15" hidden="false" customHeight="false" outlineLevel="0" collapsed="false">
      <c r="A22" s="18" t="s">
        <v>183</v>
      </c>
      <c r="B22" s="18"/>
      <c r="C22" s="21" t="n">
        <f aca="false">SUM(C18:C21)</f>
        <v>67</v>
      </c>
      <c r="D22" s="21" t="n">
        <f aca="false">SUM(D18:D21)</f>
        <v>55</v>
      </c>
      <c r="E22" s="19" t="n">
        <f aca="false">SUM(E18:E21)</f>
        <v>128.171</v>
      </c>
      <c r="F22" s="22" t="n">
        <f aca="false">SUM(F18:F21)</f>
        <v>797</v>
      </c>
      <c r="G22" s="22" t="n">
        <f aca="false">SUM(G18:G21)</f>
        <v>9842.60978369682</v>
      </c>
    </row>
  </sheetData>
  <mergeCells count="2">
    <mergeCell ref="A14:C14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26" t="s">
        <v>192</v>
      </c>
      <c r="B4" s="27"/>
      <c r="C4" s="27"/>
      <c r="D4" s="27"/>
      <c r="E4" s="27"/>
      <c r="F4" s="27"/>
      <c r="G4" s="27"/>
    </row>
    <row r="5" customFormat="false" ht="15" hidden="false" customHeight="false" outlineLevel="0" collapsed="false">
      <c r="A5" s="5" t="s">
        <v>193</v>
      </c>
      <c r="B5" s="6" t="s">
        <v>194</v>
      </c>
      <c r="C5" s="28" t="n">
        <v>0.3</v>
      </c>
      <c r="D5" s="5" t="s">
        <v>195</v>
      </c>
      <c r="E5" s="9" t="s">
        <v>196</v>
      </c>
    </row>
    <row r="6" customFormat="false" ht="15" hidden="false" customHeight="false" outlineLevel="0" collapsed="false">
      <c r="A6" s="5" t="s">
        <v>197</v>
      </c>
      <c r="B6" s="6" t="s">
        <v>198</v>
      </c>
      <c r="C6" s="29" t="n">
        <v>1.1</v>
      </c>
      <c r="D6" s="5" t="s">
        <v>195</v>
      </c>
      <c r="E6" s="9" t="s">
        <v>199</v>
      </c>
    </row>
    <row r="7" customFormat="false" ht="15" hidden="false" customHeight="false" outlineLevel="0" collapsed="false">
      <c r="A7" s="5" t="s">
        <v>200</v>
      </c>
      <c r="B7" s="6" t="s">
        <v>201</v>
      </c>
      <c r="C7" s="30" t="n">
        <v>100</v>
      </c>
      <c r="D7" s="5" t="s">
        <v>202</v>
      </c>
      <c r="E7" s="9" t="s">
        <v>203</v>
      </c>
    </row>
    <row r="8" customFormat="false" ht="15" hidden="false" customHeight="false" outlineLevel="0" collapsed="false">
      <c r="A8" s="5" t="s">
        <v>204</v>
      </c>
      <c r="B8" s="6" t="s">
        <v>205</v>
      </c>
      <c r="C8" s="28" t="n">
        <v>0.4</v>
      </c>
      <c r="D8" s="5" t="s">
        <v>195</v>
      </c>
      <c r="E8" s="9" t="s">
        <v>206</v>
      </c>
    </row>
    <row r="9" customFormat="false" ht="15" hidden="false" customHeight="false" outlineLevel="0" collapsed="false">
      <c r="A9" s="5" t="s">
        <v>207</v>
      </c>
      <c r="B9" s="6" t="s">
        <v>208</v>
      </c>
      <c r="C9" s="30" t="n">
        <v>1</v>
      </c>
      <c r="D9" s="5" t="s">
        <v>209</v>
      </c>
      <c r="E9" s="9" t="s">
        <v>210</v>
      </c>
    </row>
    <row r="10" customFormat="false" ht="15" hidden="false" customHeight="false" outlineLevel="0" collapsed="false">
      <c r="A10" s="5" t="s">
        <v>211</v>
      </c>
      <c r="B10" s="6" t="s">
        <v>212</v>
      </c>
      <c r="C10" s="30" t="n">
        <v>600</v>
      </c>
      <c r="D10" s="5" t="s">
        <v>202</v>
      </c>
      <c r="E10" s="9" t="s">
        <v>213</v>
      </c>
    </row>
    <row r="12" customFormat="false" ht="15" hidden="false" customHeight="false" outlineLevel="0" collapsed="false">
      <c r="A12" s="26" t="s">
        <v>214</v>
      </c>
      <c r="B12" s="27"/>
      <c r="C12" s="27"/>
      <c r="D12" s="27"/>
      <c r="E12" s="27"/>
      <c r="F12" s="27"/>
      <c r="G12" s="27"/>
    </row>
    <row r="13" customFormat="false" ht="15" hidden="false" customHeight="false" outlineLevel="0" collapsed="false">
      <c r="A13" s="5" t="s">
        <v>215</v>
      </c>
      <c r="B13" s="6" t="s">
        <v>216</v>
      </c>
      <c r="C13" s="31" t="n">
        <f aca="false">COUNTA('CABLE SCHEDULE'!$D$6:$D$72)</f>
        <v>67</v>
      </c>
      <c r="D13" s="5" t="s">
        <v>217</v>
      </c>
      <c r="E13" s="9" t="s">
        <v>218</v>
      </c>
    </row>
    <row r="14" customFormat="false" ht="15" hidden="false" customHeight="false" outlineLevel="0" collapsed="false">
      <c r="A14" s="5" t="s">
        <v>219</v>
      </c>
      <c r="B14" s="6" t="s">
        <v>220</v>
      </c>
      <c r="C14" s="31" t="n">
        <f aca="false">'SUMMARY BY TYPE'!$D$14</f>
        <v>55</v>
      </c>
      <c r="D14" s="5" t="s">
        <v>221</v>
      </c>
      <c r="E14" s="9" t="s">
        <v>222</v>
      </c>
    </row>
    <row r="15" customFormat="false" ht="15" hidden="false" customHeight="false" outlineLevel="0" collapsed="false">
      <c r="A15" s="5" t="s">
        <v>223</v>
      </c>
      <c r="B15" s="6" t="s">
        <v>224</v>
      </c>
      <c r="C15" s="17" t="n">
        <f aca="false">'SUMMARY BY TYPE'!$E$14</f>
        <v>797</v>
      </c>
      <c r="D15" s="5" t="s">
        <v>202</v>
      </c>
      <c r="E15" s="9" t="s">
        <v>225</v>
      </c>
    </row>
    <row r="16" customFormat="false" ht="15" hidden="false" customHeight="false" outlineLevel="0" collapsed="false">
      <c r="A16" s="5" t="s">
        <v>226</v>
      </c>
      <c r="B16" s="6" t="s">
        <v>227</v>
      </c>
      <c r="C16" s="17" t="n">
        <f aca="false">'SUMMARY BY TYPE'!$F$14</f>
        <v>9842.60978369682</v>
      </c>
      <c r="D16" s="5" t="s">
        <v>228</v>
      </c>
      <c r="E16" s="9" t="s">
        <v>229</v>
      </c>
    </row>
    <row r="17" customFormat="false" ht="15" hidden="false" customHeight="false" outlineLevel="0" collapsed="false">
      <c r="A17" s="5" t="s">
        <v>230</v>
      </c>
      <c r="B17" s="6" t="s">
        <v>231</v>
      </c>
      <c r="C17" s="32" t="n">
        <f aca="false">'SUMMARY BY TYPE'!$E$22</f>
        <v>128.171</v>
      </c>
      <c r="D17" s="5" t="s">
        <v>232</v>
      </c>
      <c r="E17" s="9" t="s">
        <v>233</v>
      </c>
    </row>
    <row r="19" customFormat="false" ht="15" hidden="false" customHeight="false" outlineLevel="0" collapsed="false">
      <c r="A19" s="26" t="s">
        <v>234</v>
      </c>
      <c r="B19" s="27"/>
      <c r="C19" s="27"/>
      <c r="D19" s="27"/>
      <c r="E19" s="27"/>
      <c r="F19" s="27"/>
      <c r="G19" s="27"/>
    </row>
    <row r="20" customFormat="false" ht="15" hidden="false" customHeight="false" outlineLevel="0" collapsed="false">
      <c r="B20" s="33" t="s">
        <v>235</v>
      </c>
    </row>
    <row r="21" customFormat="false" ht="15" hidden="false" customHeight="false" outlineLevel="0" collapsed="false">
      <c r="A21" s="5" t="s">
        <v>236</v>
      </c>
      <c r="B21" s="6" t="s">
        <v>237</v>
      </c>
      <c r="C21" s="8" t="n">
        <f aca="false">$C$15</f>
        <v>797</v>
      </c>
      <c r="D21" s="5" t="s">
        <v>202</v>
      </c>
      <c r="E21" s="9" t="s">
        <v>238</v>
      </c>
    </row>
    <row r="22" customFormat="false" ht="15" hidden="false" customHeight="false" outlineLevel="0" collapsed="false">
      <c r="A22" s="5" t="s">
        <v>239</v>
      </c>
      <c r="B22" s="6" t="s">
        <v>240</v>
      </c>
      <c r="C22" s="8" t="n">
        <f aca="false">$C$21*$C$6</f>
        <v>876.7</v>
      </c>
      <c r="D22" s="5" t="s">
        <v>202</v>
      </c>
      <c r="E22" s="9" t="s">
        <v>241</v>
      </c>
    </row>
    <row r="23" customFormat="false" ht="15" hidden="false" customHeight="false" outlineLevel="0" collapsed="false">
      <c r="A23" s="5" t="s">
        <v>242</v>
      </c>
      <c r="B23" s="6" t="s">
        <v>243</v>
      </c>
      <c r="C23" s="8" t="n">
        <f aca="false">$C$22*(1+$C$5)</f>
        <v>1139.71</v>
      </c>
      <c r="D23" s="5" t="s">
        <v>202</v>
      </c>
      <c r="E23" s="9" t="s">
        <v>244</v>
      </c>
    </row>
    <row r="24" customFormat="false" ht="15" hidden="false" customHeight="false" outlineLevel="0" collapsed="false">
      <c r="A24" s="34" t="s">
        <v>245</v>
      </c>
      <c r="B24" s="35" t="s">
        <v>246</v>
      </c>
      <c r="C24" s="36" t="n">
        <f aca="false">$C$23/$C$9</f>
        <v>1139.71</v>
      </c>
      <c r="D24" s="34" t="s">
        <v>202</v>
      </c>
      <c r="E24" s="37" t="s">
        <v>247</v>
      </c>
    </row>
    <row r="26" customFormat="false" ht="15" hidden="false" customHeight="false" outlineLevel="0" collapsed="false">
      <c r="A26" s="26" t="s">
        <v>248</v>
      </c>
      <c r="B26" s="27"/>
      <c r="C26" s="27"/>
      <c r="D26" s="27"/>
      <c r="E26" s="27"/>
      <c r="F26" s="27"/>
      <c r="G26" s="27"/>
    </row>
    <row r="27" customFormat="false" ht="15" hidden="false" customHeight="false" outlineLevel="0" collapsed="false">
      <c r="B27" s="33" t="s">
        <v>249</v>
      </c>
    </row>
    <row r="28" customFormat="false" ht="15" hidden="false" customHeight="false" outlineLevel="0" collapsed="false">
      <c r="A28" s="5" t="s">
        <v>250</v>
      </c>
      <c r="B28" s="6" t="s">
        <v>251</v>
      </c>
      <c r="C28" s="8" t="n">
        <f aca="false">$C$16</f>
        <v>9842.60978369682</v>
      </c>
      <c r="D28" s="5" t="s">
        <v>228</v>
      </c>
      <c r="E28" s="9" t="s">
        <v>252</v>
      </c>
    </row>
    <row r="29" customFormat="false" ht="15" hidden="false" customHeight="false" outlineLevel="0" collapsed="false">
      <c r="A29" s="5" t="s">
        <v>253</v>
      </c>
      <c r="B29" s="6" t="s">
        <v>243</v>
      </c>
      <c r="C29" s="8" t="n">
        <f aca="false">$C$28*(1+$C$5)</f>
        <v>12795.3927188059</v>
      </c>
      <c r="D29" s="5" t="s">
        <v>228</v>
      </c>
      <c r="E29" s="9" t="s">
        <v>254</v>
      </c>
    </row>
    <row r="30" customFormat="false" ht="15" hidden="false" customHeight="false" outlineLevel="0" collapsed="false">
      <c r="A30" s="5" t="s">
        <v>255</v>
      </c>
      <c r="B30" s="6" t="s">
        <v>256</v>
      </c>
      <c r="C30" s="8" t="n">
        <f aca="false">$C$29/$C$8</f>
        <v>31988.4817970147</v>
      </c>
      <c r="D30" s="5" t="s">
        <v>228</v>
      </c>
      <c r="E30" s="9" t="s">
        <v>257</v>
      </c>
    </row>
    <row r="31" customFormat="false" ht="15" hidden="false" customHeight="false" outlineLevel="0" collapsed="false">
      <c r="A31" s="34" t="s">
        <v>258</v>
      </c>
      <c r="B31" s="35" t="s">
        <v>259</v>
      </c>
      <c r="C31" s="36" t="n">
        <f aca="false">$C$30/$C$7/$C$9</f>
        <v>319.884817970147</v>
      </c>
      <c r="D31" s="34" t="s">
        <v>202</v>
      </c>
      <c r="E31" s="37" t="s">
        <v>260</v>
      </c>
    </row>
    <row r="33" customFormat="false" ht="15" hidden="false" customHeight="false" outlineLevel="0" collapsed="false">
      <c r="A33" s="26" t="s">
        <v>261</v>
      </c>
      <c r="B33" s="27"/>
      <c r="C33" s="27"/>
      <c r="D33" s="27"/>
      <c r="E33" s="27"/>
      <c r="F33" s="27"/>
      <c r="G33" s="27"/>
    </row>
    <row r="34" customFormat="false" ht="15" hidden="false" customHeight="false" outlineLevel="0" collapsed="false">
      <c r="A34" s="34" t="s">
        <v>262</v>
      </c>
      <c r="B34" s="35" t="s">
        <v>263</v>
      </c>
      <c r="C34" s="38" t="n">
        <f aca="false">MAX($C$24,$C$31)</f>
        <v>1139.71</v>
      </c>
      <c r="D34" s="34" t="s">
        <v>202</v>
      </c>
      <c r="E34" s="37" t="s">
        <v>264</v>
      </c>
    </row>
    <row r="35" customFormat="false" ht="26.85" hidden="false" customHeight="false" outlineLevel="0" collapsed="false">
      <c r="A35" s="5" t="s">
        <v>265</v>
      </c>
      <c r="B35" s="6" t="s">
        <v>266</v>
      </c>
      <c r="C35" s="39" t="str">
        <f aca="false">IF($C$24&gt;=$C$31,"METODE 1 - Σ OD","METODE 2 - FILL RATIO")</f>
        <v>METODE 1 - Σ OD</v>
      </c>
      <c r="D35" s="5" t="s">
        <v>195</v>
      </c>
      <c r="E35" s="9" t="s">
        <v>267</v>
      </c>
    </row>
    <row r="36" customFormat="false" ht="15" hidden="false" customHeight="false" outlineLevel="0" collapsed="false">
      <c r="A36" s="5" t="s">
        <v>268</v>
      </c>
      <c r="B36" s="6" t="s">
        <v>269</v>
      </c>
      <c r="C36" s="40" t="n">
        <f aca="false">$C$10</f>
        <v>600</v>
      </c>
      <c r="D36" s="5" t="s">
        <v>202</v>
      </c>
      <c r="E36" s="9" t="s">
        <v>270</v>
      </c>
    </row>
    <row r="37" customFormat="false" ht="15" hidden="false" customHeight="false" outlineLevel="0" collapsed="false">
      <c r="A37" s="34" t="s">
        <v>271</v>
      </c>
      <c r="B37" s="35" t="s">
        <v>272</v>
      </c>
      <c r="C37" s="41" t="n">
        <f aca="false">ROUNDUP($C$34/$C$10,0)</f>
        <v>2</v>
      </c>
      <c r="D37" s="34" t="s">
        <v>273</v>
      </c>
      <c r="E37" s="37" t="s">
        <v>274</v>
      </c>
    </row>
    <row r="38" customFormat="false" ht="15" hidden="false" customHeight="false" outlineLevel="0" collapsed="false">
      <c r="A38" s="5" t="s">
        <v>275</v>
      </c>
      <c r="B38" s="6" t="s">
        <v>276</v>
      </c>
      <c r="C38" s="40" t="n">
        <f aca="false">$C$37*$C$10</f>
        <v>1200</v>
      </c>
      <c r="D38" s="5" t="s">
        <v>202</v>
      </c>
      <c r="E38" s="9" t="s">
        <v>277</v>
      </c>
    </row>
    <row r="39" customFormat="false" ht="15" hidden="false" customHeight="false" outlineLevel="0" collapsed="false">
      <c r="A39" s="5" t="s">
        <v>278</v>
      </c>
      <c r="B39" s="6" t="s">
        <v>279</v>
      </c>
      <c r="C39" s="40" t="n">
        <f aca="false">$C$37*$C$10*$C$7*$C$9</f>
        <v>120000</v>
      </c>
      <c r="D39" s="5" t="s">
        <v>228</v>
      </c>
      <c r="E39" s="9" t="s">
        <v>280</v>
      </c>
    </row>
    <row r="40" customFormat="false" ht="15" hidden="false" customHeight="false" outlineLevel="0" collapsed="false">
      <c r="A40" s="5" t="s">
        <v>281</v>
      </c>
      <c r="B40" s="6" t="s">
        <v>282</v>
      </c>
      <c r="C40" s="42" t="n">
        <f aca="false">$C$16/$C$39</f>
        <v>0.0820217481974735</v>
      </c>
      <c r="D40" s="5" t="s">
        <v>195</v>
      </c>
      <c r="E40" s="9" t="s">
        <v>283</v>
      </c>
    </row>
    <row r="41" customFormat="false" ht="15" hidden="false" customHeight="false" outlineLevel="0" collapsed="false">
      <c r="A41" s="34" t="s">
        <v>284</v>
      </c>
      <c r="B41" s="35" t="s">
        <v>285</v>
      </c>
      <c r="C41" s="43" t="str">
        <f aca="false">IF($C$40&lt;=$C$8,"OK","NOT OK - PERBESAR TRAY")</f>
        <v>OK</v>
      </c>
      <c r="D41" s="34" t="s">
        <v>195</v>
      </c>
      <c r="E41" s="37" t="s">
        <v>286</v>
      </c>
    </row>
    <row r="42" customFormat="false" ht="15" hidden="false" customHeight="false" outlineLevel="0" collapsed="false">
      <c r="A42" s="5" t="s">
        <v>287</v>
      </c>
      <c r="B42" s="6" t="s">
        <v>288</v>
      </c>
      <c r="C42" s="24" t="n">
        <f aca="false">$C$15/($C$37*$C$10*$C$9)</f>
        <v>0.664166666666667</v>
      </c>
      <c r="D42" s="5" t="s">
        <v>195</v>
      </c>
      <c r="E42" s="9" t="s">
        <v>289</v>
      </c>
    </row>
    <row r="44" customFormat="false" ht="15" hidden="false" customHeight="false" outlineLevel="0" collapsed="false">
      <c r="A44" s="26" t="s">
        <v>290</v>
      </c>
      <c r="B44" s="27"/>
      <c r="C44" s="27"/>
      <c r="D44" s="27"/>
      <c r="E44" s="27"/>
      <c r="F44" s="27"/>
      <c r="G44" s="27"/>
    </row>
    <row r="45" customFormat="false" ht="15" hidden="false" customHeight="false" outlineLevel="0" collapsed="false">
      <c r="B45" s="33" t="s">
        <v>291</v>
      </c>
    </row>
    <row r="46" customFormat="false" ht="32.8" hidden="false" customHeight="false" outlineLevel="0" collapsed="false">
      <c r="B46" s="44" t="s">
        <v>292</v>
      </c>
      <c r="C46" s="44" t="s">
        <v>293</v>
      </c>
      <c r="D46" s="44" t="s">
        <v>294</v>
      </c>
      <c r="E46" s="44" t="s">
        <v>295</v>
      </c>
      <c r="F46" s="44" t="s">
        <v>296</v>
      </c>
      <c r="G46" s="44" t="s">
        <v>297</v>
      </c>
      <c r="H46" s="44" t="s">
        <v>298</v>
      </c>
    </row>
    <row r="47" customFormat="false" ht="15" hidden="false" customHeight="false" outlineLevel="0" collapsed="false">
      <c r="B47" s="40" t="n">
        <v>100</v>
      </c>
      <c r="C47" s="8" t="n">
        <f aca="false">MAX($C$15*$C$6*(1+$C$5),$C$16*(1+$C$5)/$C$8/$C$7)</f>
        <v>1139.71</v>
      </c>
      <c r="D47" s="40" t="n">
        <f aca="false">ROUNDUP($C47/$B47/1,0)</f>
        <v>12</v>
      </c>
      <c r="E47" s="40" t="n">
        <f aca="false">ROUNDUP($C47/$B47/2,0)</f>
        <v>6</v>
      </c>
      <c r="F47" s="40" t="n">
        <f aca="false">ROUNDUP($C47/$B47/3,0)</f>
        <v>4</v>
      </c>
      <c r="G47" s="24" t="n">
        <f aca="false">$C$16/(D47*$B47*$C$7)</f>
        <v>0.0820217481974735</v>
      </c>
      <c r="H47" s="5" t="str">
        <f aca="false">IF(G47&lt;=$C$8,"OK","NOT OK")</f>
        <v>OK</v>
      </c>
    </row>
    <row r="48" customFormat="false" ht="15" hidden="false" customHeight="false" outlineLevel="0" collapsed="false">
      <c r="B48" s="40" t="n">
        <v>150</v>
      </c>
      <c r="C48" s="8" t="n">
        <f aca="false">MAX($C$15*$C$6*(1+$C$5),$C$16*(1+$C$5)/$C$8/$C$7)</f>
        <v>1139.71</v>
      </c>
      <c r="D48" s="40" t="n">
        <f aca="false">ROUNDUP($C48/$B48/1,0)</f>
        <v>8</v>
      </c>
      <c r="E48" s="40" t="n">
        <f aca="false">ROUNDUP($C48/$B48/2,0)</f>
        <v>4</v>
      </c>
      <c r="F48" s="40" t="n">
        <f aca="false">ROUNDUP($C48/$B48/3,0)</f>
        <v>3</v>
      </c>
      <c r="G48" s="24" t="n">
        <f aca="false">$C$16/(D48*$B48*$C$7)</f>
        <v>0.0820217481974735</v>
      </c>
      <c r="H48" s="5" t="str">
        <f aca="false">IF(G48&lt;=$C$8,"OK","NOT OK")</f>
        <v>OK</v>
      </c>
    </row>
    <row r="49" customFormat="false" ht="15" hidden="false" customHeight="false" outlineLevel="0" collapsed="false">
      <c r="B49" s="40" t="n">
        <v>200</v>
      </c>
      <c r="C49" s="8" t="n">
        <f aca="false">MAX($C$15*$C$6*(1+$C$5),$C$16*(1+$C$5)/$C$8/$C$7)</f>
        <v>1139.71</v>
      </c>
      <c r="D49" s="40" t="n">
        <f aca="false">ROUNDUP($C49/$B49/1,0)</f>
        <v>6</v>
      </c>
      <c r="E49" s="40" t="n">
        <f aca="false">ROUNDUP($C49/$B49/2,0)</f>
        <v>3</v>
      </c>
      <c r="F49" s="40" t="n">
        <f aca="false">ROUNDUP($C49/$B49/3,0)</f>
        <v>2</v>
      </c>
      <c r="G49" s="24" t="n">
        <f aca="false">$C$16/(D49*$B49*$C$7)</f>
        <v>0.0820217481974735</v>
      </c>
      <c r="H49" s="5" t="str">
        <f aca="false">IF(G49&lt;=$C$8,"OK","NOT OK")</f>
        <v>OK</v>
      </c>
    </row>
    <row r="50" customFormat="false" ht="15" hidden="false" customHeight="false" outlineLevel="0" collapsed="false">
      <c r="B50" s="40" t="n">
        <v>300</v>
      </c>
      <c r="C50" s="8" t="n">
        <f aca="false">MAX($C$15*$C$6*(1+$C$5),$C$16*(1+$C$5)/$C$8/$C$7)</f>
        <v>1139.71</v>
      </c>
      <c r="D50" s="40" t="n">
        <f aca="false">ROUNDUP($C50/$B50/1,0)</f>
        <v>4</v>
      </c>
      <c r="E50" s="40" t="n">
        <f aca="false">ROUNDUP($C50/$B50/2,0)</f>
        <v>2</v>
      </c>
      <c r="F50" s="40" t="n">
        <f aca="false">ROUNDUP($C50/$B50/3,0)</f>
        <v>2</v>
      </c>
      <c r="G50" s="24" t="n">
        <f aca="false">$C$16/(D50*$B50*$C$7)</f>
        <v>0.0820217481974735</v>
      </c>
      <c r="H50" s="5" t="str">
        <f aca="false">IF(G50&lt;=$C$8,"OK","NOT OK")</f>
        <v>OK</v>
      </c>
    </row>
    <row r="51" customFormat="false" ht="15" hidden="false" customHeight="false" outlineLevel="0" collapsed="false">
      <c r="B51" s="40" t="n">
        <v>400</v>
      </c>
      <c r="C51" s="8" t="n">
        <f aca="false">MAX($C$15*$C$6*(1+$C$5),$C$16*(1+$C$5)/$C$8/$C$7)</f>
        <v>1139.71</v>
      </c>
      <c r="D51" s="40" t="n">
        <f aca="false">ROUNDUP($C51/$B51/1,0)</f>
        <v>3</v>
      </c>
      <c r="E51" s="40" t="n">
        <f aca="false">ROUNDUP($C51/$B51/2,0)</f>
        <v>2</v>
      </c>
      <c r="F51" s="40" t="n">
        <f aca="false">ROUNDUP($C51/$B51/3,0)</f>
        <v>1</v>
      </c>
      <c r="G51" s="24" t="n">
        <f aca="false">$C$16/(D51*$B51*$C$7)</f>
        <v>0.0820217481974735</v>
      </c>
      <c r="H51" s="5" t="str">
        <f aca="false">IF(G51&lt;=$C$8,"OK","NOT OK")</f>
        <v>OK</v>
      </c>
    </row>
    <row r="52" customFormat="false" ht="15" hidden="false" customHeight="false" outlineLevel="0" collapsed="false">
      <c r="B52" s="40" t="n">
        <v>500</v>
      </c>
      <c r="C52" s="8" t="n">
        <f aca="false">MAX($C$15*$C$6*(1+$C$5),$C$16*(1+$C$5)/$C$8/$C$7)</f>
        <v>1139.71</v>
      </c>
      <c r="D52" s="40" t="n">
        <f aca="false">ROUNDUP($C52/$B52/1,0)</f>
        <v>3</v>
      </c>
      <c r="E52" s="40" t="n">
        <f aca="false">ROUNDUP($C52/$B52/2,0)</f>
        <v>2</v>
      </c>
      <c r="F52" s="40" t="n">
        <f aca="false">ROUNDUP($C52/$B52/3,0)</f>
        <v>1</v>
      </c>
      <c r="G52" s="24" t="n">
        <f aca="false">$C$16/(D52*$B52*$C$7)</f>
        <v>0.0656173985579788</v>
      </c>
      <c r="H52" s="5" t="str">
        <f aca="false">IF(G52&lt;=$C$8,"OK","NOT OK")</f>
        <v>OK</v>
      </c>
    </row>
    <row r="53" customFormat="false" ht="15" hidden="false" customHeight="false" outlineLevel="0" collapsed="false">
      <c r="B53" s="40" t="n">
        <v>600</v>
      </c>
      <c r="C53" s="8" t="n">
        <f aca="false">MAX($C$15*$C$6*(1+$C$5),$C$16*(1+$C$5)/$C$8/$C$7)</f>
        <v>1139.71</v>
      </c>
      <c r="D53" s="40" t="n">
        <f aca="false">ROUNDUP($C53/$B53/1,0)</f>
        <v>2</v>
      </c>
      <c r="E53" s="40" t="n">
        <f aca="false">ROUNDUP($C53/$B53/2,0)</f>
        <v>1</v>
      </c>
      <c r="F53" s="40" t="n">
        <f aca="false">ROUNDUP($C53/$B53/3,0)</f>
        <v>1</v>
      </c>
      <c r="G53" s="24" t="n">
        <f aca="false">$C$16/(D53*$B53*$C$7)</f>
        <v>0.0820217481974735</v>
      </c>
      <c r="H53" s="5" t="str">
        <f aca="false">IF(G53&lt;=$C$8,"OK","NOT OK")</f>
        <v>OK</v>
      </c>
    </row>
    <row r="54" customFormat="false" ht="15" hidden="false" customHeight="false" outlineLevel="0" collapsed="false">
      <c r="B54" s="40" t="n">
        <v>750</v>
      </c>
      <c r="C54" s="8" t="n">
        <f aca="false">MAX($C$15*$C$6*(1+$C$5),$C$16*(1+$C$5)/$C$8/$C$7)</f>
        <v>1139.71</v>
      </c>
      <c r="D54" s="40" t="n">
        <f aca="false">ROUNDUP($C54/$B54/1,0)</f>
        <v>2</v>
      </c>
      <c r="E54" s="40" t="n">
        <f aca="false">ROUNDUP($C54/$B54/2,0)</f>
        <v>1</v>
      </c>
      <c r="F54" s="40" t="n">
        <f aca="false">ROUNDUP($C54/$B54/3,0)</f>
        <v>1</v>
      </c>
      <c r="G54" s="24" t="n">
        <f aca="false">$C$16/(D54*$B54*$C$7)</f>
        <v>0.0656173985579788</v>
      </c>
      <c r="H54" s="5" t="str">
        <f aca="false">IF(G54&lt;=$C$8,"OK","NOT OK")</f>
        <v>OK</v>
      </c>
    </row>
    <row r="55" customFormat="false" ht="15" hidden="false" customHeight="false" outlineLevel="0" collapsed="false">
      <c r="B55" s="40" t="n">
        <v>800</v>
      </c>
      <c r="C55" s="8" t="n">
        <f aca="false">MAX($C$15*$C$6*(1+$C$5),$C$16*(1+$C$5)/$C$8/$C$7)</f>
        <v>1139.71</v>
      </c>
      <c r="D55" s="40" t="n">
        <f aca="false">ROUNDUP($C55/$B55/1,0)</f>
        <v>2</v>
      </c>
      <c r="E55" s="40" t="n">
        <f aca="false">ROUNDUP($C55/$B55/2,0)</f>
        <v>1</v>
      </c>
      <c r="F55" s="40" t="n">
        <f aca="false">ROUNDUP($C55/$B55/3,0)</f>
        <v>1</v>
      </c>
      <c r="G55" s="24" t="n">
        <f aca="false">$C$16/(D55*$B55*$C$7)</f>
        <v>0.0615163111481051</v>
      </c>
      <c r="H55" s="5" t="str">
        <f aca="false">IF(G55&lt;=$C$8,"OK","NOT OK")</f>
        <v>OK</v>
      </c>
    </row>
    <row r="56" customFormat="false" ht="15" hidden="false" customHeight="false" outlineLevel="0" collapsed="false">
      <c r="B56" s="40" t="n">
        <v>900</v>
      </c>
      <c r="C56" s="8" t="n">
        <f aca="false">MAX($C$15*$C$6*(1+$C$5),$C$16*(1+$C$5)/$C$8/$C$7)</f>
        <v>1139.71</v>
      </c>
      <c r="D56" s="40" t="n">
        <f aca="false">ROUNDUP($C56/$B56/1,0)</f>
        <v>2</v>
      </c>
      <c r="E56" s="40" t="n">
        <f aca="false">ROUNDUP($C56/$B56/2,0)</f>
        <v>1</v>
      </c>
      <c r="F56" s="40" t="n">
        <f aca="false">ROUNDUP($C56/$B56/3,0)</f>
        <v>1</v>
      </c>
      <c r="G56" s="24" t="n">
        <f aca="false">$C$16/(D56*$B56*$C$7)</f>
        <v>0.0546811654649823</v>
      </c>
      <c r="H56" s="5" t="str">
        <f aca="false">IF(G56&lt;=$C$8,"OK","NOT OK")</f>
        <v>OK</v>
      </c>
    </row>
    <row r="57" customFormat="false" ht="15" hidden="false" customHeight="false" outlineLevel="0" collapsed="false">
      <c r="B57" s="40" t="n">
        <v>1000</v>
      </c>
      <c r="C57" s="8" t="n">
        <f aca="false">MAX($C$15*$C$6*(1+$C$5),$C$16*(1+$C$5)/$C$8/$C$7)</f>
        <v>1139.71</v>
      </c>
      <c r="D57" s="40" t="n">
        <f aca="false">ROUNDUP($C57/$B57/1,0)</f>
        <v>2</v>
      </c>
      <c r="E57" s="40" t="n">
        <f aca="false">ROUNDUP($C57/$B57/2,0)</f>
        <v>1</v>
      </c>
      <c r="F57" s="40" t="n">
        <f aca="false">ROUNDUP($C57/$B57/3,0)</f>
        <v>1</v>
      </c>
      <c r="G57" s="24" t="n">
        <f aca="false">$C$16/(D57*$B57*$C$7)</f>
        <v>0.0492130489184841</v>
      </c>
      <c r="H57" s="5" t="str">
        <f aca="false">IF(G57&lt;=$C$8,"OK","NOT OK")</f>
        <v>OK</v>
      </c>
    </row>
    <row r="59" customFormat="false" ht="15" hidden="false" customHeight="false" outlineLevel="0" collapsed="false">
      <c r="A59" s="26" t="s">
        <v>299</v>
      </c>
      <c r="B59" s="27"/>
      <c r="C59" s="27"/>
      <c r="D59" s="27"/>
      <c r="E59" s="27"/>
      <c r="F59" s="27"/>
      <c r="G59" s="27"/>
    </row>
    <row r="60" customFormat="false" ht="15" hidden="false" customHeight="false" outlineLevel="0" collapsed="false">
      <c r="B60" s="33" t="s">
        <v>300</v>
      </c>
    </row>
    <row r="61" customFormat="false" ht="22.35" hidden="false" customHeight="false" outlineLevel="0" collapsed="false">
      <c r="B61" s="44" t="s">
        <v>40</v>
      </c>
      <c r="C61" s="44" t="s">
        <v>301</v>
      </c>
      <c r="D61" s="44" t="s">
        <v>302</v>
      </c>
      <c r="E61" s="44" t="s">
        <v>293</v>
      </c>
      <c r="F61" s="44" t="s">
        <v>303</v>
      </c>
      <c r="G61" s="44" t="s">
        <v>304</v>
      </c>
      <c r="H61" s="44" t="s">
        <v>305</v>
      </c>
    </row>
    <row r="62" customFormat="false" ht="15" hidden="false" customHeight="false" outlineLevel="0" collapsed="false">
      <c r="B62" s="6" t="s">
        <v>50</v>
      </c>
      <c r="C62" s="17" t="n">
        <f aca="false">'SUMMARY BY TYPE'!$F$18</f>
        <v>414.5</v>
      </c>
      <c r="D62" s="17" t="n">
        <f aca="false">'SUMMARY BY TYPE'!$G$18</f>
        <v>4993.36517334013</v>
      </c>
      <c r="E62" s="8" t="n">
        <f aca="false">MAX(C62*$C$6*(1+$C$5)/$C$9,D62*(1+$C$5)/$C$8/$C$7/$C$9)</f>
        <v>592.735</v>
      </c>
      <c r="F62" s="40" t="n">
        <f aca="false">ROUNDUP(E62/$C$10,0)</f>
        <v>1</v>
      </c>
      <c r="G62" s="24" t="n">
        <f aca="false">D62/(F62*$C$10*$C$7*$C$9)</f>
        <v>0.0832227528890021</v>
      </c>
      <c r="H62" s="5" t="str">
        <f aca="false">IF(G62&lt;=$C$8,"OK","NOT OK")</f>
        <v>OK</v>
      </c>
    </row>
    <row r="63" customFormat="false" ht="15" hidden="false" customHeight="false" outlineLevel="0" collapsed="false">
      <c r="B63" s="6" t="s">
        <v>122</v>
      </c>
      <c r="C63" s="17" t="n">
        <f aca="false">'SUMMARY BY TYPE'!$F$19</f>
        <v>102.5</v>
      </c>
      <c r="D63" s="17" t="n">
        <f aca="false">'SUMMARY BY TYPE'!$G$19</f>
        <v>1083.65311594763</v>
      </c>
      <c r="E63" s="8" t="n">
        <f aca="false">MAX(C63*$C$6*(1+$C$5)/$C$9,D63*(1+$C$5)/$C$8/$C$7/$C$9)</f>
        <v>146.575</v>
      </c>
      <c r="F63" s="40" t="n">
        <f aca="false">ROUNDUP(E63/$C$10,0)</f>
        <v>1</v>
      </c>
      <c r="G63" s="24" t="n">
        <f aca="false">D63/(F63*$C$10*$C$7*$C$9)</f>
        <v>0.0180608852657938</v>
      </c>
      <c r="H63" s="5" t="str">
        <f aca="false">IF(G63&lt;=$C$8,"OK","NOT OK")</f>
        <v>OK</v>
      </c>
    </row>
    <row r="64" customFormat="false" ht="15" hidden="false" customHeight="false" outlineLevel="0" collapsed="false">
      <c r="B64" s="6" t="s">
        <v>143</v>
      </c>
      <c r="C64" s="17" t="n">
        <f aca="false">'SUMMARY BY TYPE'!$F$20</f>
        <v>185.5</v>
      </c>
      <c r="D64" s="17" t="n">
        <f aca="false">'SUMMARY BY TYPE'!$G$20</f>
        <v>2423.14968362198</v>
      </c>
      <c r="E64" s="8" t="n">
        <f aca="false">MAX(C64*$C$6*(1+$C$5)/$C$9,D64*(1+$C$5)/$C$8/$C$7/$C$9)</f>
        <v>265.265</v>
      </c>
      <c r="F64" s="40" t="n">
        <f aca="false">ROUNDUP(E64/$C$10,0)</f>
        <v>1</v>
      </c>
      <c r="G64" s="24" t="n">
        <f aca="false">D64/(F64*$C$10*$C$7*$C$9)</f>
        <v>0.0403858280603663</v>
      </c>
      <c r="H64" s="5" t="str">
        <f aca="false">IF(G64&lt;=$C$8,"OK","NOT OK")</f>
        <v>OK</v>
      </c>
    </row>
    <row r="65" customFormat="false" ht="15" hidden="false" customHeight="false" outlineLevel="0" collapsed="false">
      <c r="B65" s="6" t="s">
        <v>172</v>
      </c>
      <c r="C65" s="17" t="n">
        <f aca="false">'SUMMARY BY TYPE'!$F$21</f>
        <v>94.5</v>
      </c>
      <c r="D65" s="17" t="n">
        <f aca="false">'SUMMARY BY TYPE'!$G$21</f>
        <v>1342.44181078709</v>
      </c>
      <c r="E65" s="8" t="n">
        <f aca="false">MAX(C65*$C$6*(1+$C$5)/$C$9,D65*(1+$C$5)/$C$8/$C$7/$C$9)</f>
        <v>135.135</v>
      </c>
      <c r="F65" s="40" t="n">
        <f aca="false">ROUNDUP(E65/$C$10,0)</f>
        <v>1</v>
      </c>
      <c r="G65" s="24" t="n">
        <f aca="false">D65/(F65*$C$10*$C$7*$C$9)</f>
        <v>0.0223740301797848</v>
      </c>
      <c r="H65" s="5" t="str">
        <f aca="false">IF(G65&lt;=$C$8,"OK","NOT OK")</f>
        <v>OK</v>
      </c>
    </row>
    <row r="66" customFormat="false" ht="15" hidden="false" customHeight="false" outlineLevel="0" collapsed="false">
      <c r="B66" s="18" t="s">
        <v>306</v>
      </c>
      <c r="C66" s="22" t="n">
        <f aca="false">SUM(C62:C65)</f>
        <v>797</v>
      </c>
      <c r="D66" s="22" t="n">
        <f aca="false">SUM(D62:D65)</f>
        <v>9842.60978369682</v>
      </c>
      <c r="E66" s="22" t="n">
        <f aca="false">$C$34</f>
        <v>1139.71</v>
      </c>
      <c r="F66" s="45" t="n">
        <f aca="false">$C$37</f>
        <v>2</v>
      </c>
      <c r="G66" s="25" t="n">
        <f aca="false">$C$40</f>
        <v>0.0820217481974735</v>
      </c>
      <c r="H66" s="45" t="n">
        <f aca="false">SUM(F62:F65)</f>
        <v>4</v>
      </c>
      <c r="I66" s="2" t="s">
        <v>307</v>
      </c>
    </row>
    <row r="68" customFormat="false" ht="15" hidden="false" customHeight="false" outlineLevel="0" collapsed="false">
      <c r="A68" s="26" t="s">
        <v>308</v>
      </c>
      <c r="B68" s="27"/>
      <c r="C68" s="27"/>
      <c r="D68" s="27"/>
      <c r="E68" s="27"/>
      <c r="F68" s="27"/>
      <c r="G68" s="27"/>
    </row>
    <row r="69" customFormat="false" ht="30" hidden="false" customHeight="true" outlineLevel="0" collapsed="false">
      <c r="B69" s="46" t="s">
        <v>309</v>
      </c>
      <c r="C69" s="47" t="s">
        <v>310</v>
      </c>
      <c r="D69" s="47"/>
      <c r="E69" s="47"/>
      <c r="F69" s="47"/>
      <c r="G69" s="47"/>
      <c r="H69" s="47"/>
    </row>
    <row r="70" customFormat="false" ht="30" hidden="false" customHeight="true" outlineLevel="0" collapsed="false">
      <c r="B70" s="46" t="s">
        <v>311</v>
      </c>
      <c r="C70" s="47" t="s">
        <v>312</v>
      </c>
      <c r="D70" s="47"/>
      <c r="E70" s="47"/>
      <c r="F70" s="47"/>
      <c r="G70" s="47"/>
      <c r="H70" s="47"/>
    </row>
    <row r="71" customFormat="false" ht="30" hidden="false" customHeight="true" outlineLevel="0" collapsed="false">
      <c r="B71" s="46" t="s">
        <v>313</v>
      </c>
      <c r="C71" s="47" t="s">
        <v>314</v>
      </c>
      <c r="D71" s="47"/>
      <c r="E71" s="47"/>
      <c r="F71" s="47"/>
      <c r="G71" s="47"/>
      <c r="H71" s="47"/>
    </row>
    <row r="72" customFormat="false" ht="30" hidden="false" customHeight="true" outlineLevel="0" collapsed="false">
      <c r="B72" s="46" t="s">
        <v>315</v>
      </c>
      <c r="C72" s="47" t="s">
        <v>316</v>
      </c>
      <c r="D72" s="47"/>
      <c r="E72" s="47"/>
      <c r="F72" s="47"/>
      <c r="G72" s="47"/>
      <c r="H72" s="47"/>
    </row>
    <row r="73" customFormat="false" ht="30" hidden="false" customHeight="true" outlineLevel="0" collapsed="false">
      <c r="B73" s="46" t="s">
        <v>317</v>
      </c>
      <c r="C73" s="47" t="s">
        <v>318</v>
      </c>
      <c r="D73" s="47"/>
      <c r="E73" s="47"/>
      <c r="F73" s="47"/>
      <c r="G73" s="47"/>
      <c r="H73" s="47"/>
    </row>
    <row r="74" customFormat="false" ht="30" hidden="false" customHeight="true" outlineLevel="0" collapsed="false">
      <c r="B74" s="46" t="s">
        <v>319</v>
      </c>
      <c r="C74" s="47" t="s">
        <v>320</v>
      </c>
      <c r="D74" s="47"/>
      <c r="E74" s="47"/>
      <c r="F74" s="47"/>
      <c r="G74" s="47"/>
      <c r="H74" s="47"/>
    </row>
    <row r="75" customFormat="false" ht="30" hidden="false" customHeight="true" outlineLevel="0" collapsed="false">
      <c r="B75" s="46" t="s">
        <v>321</v>
      </c>
      <c r="C75" s="47" t="s">
        <v>322</v>
      </c>
      <c r="D75" s="47"/>
      <c r="E75" s="47"/>
      <c r="F75" s="47"/>
      <c r="G75" s="47"/>
      <c r="H75" s="47"/>
    </row>
    <row r="76" customFormat="false" ht="30" hidden="false" customHeight="true" outlineLevel="0" collapsed="false">
      <c r="B76" s="46" t="s">
        <v>323</v>
      </c>
      <c r="C76" s="47" t="s">
        <v>324</v>
      </c>
      <c r="D76" s="47"/>
      <c r="E76" s="47"/>
      <c r="F76" s="47"/>
      <c r="G76" s="47"/>
      <c r="H76" s="47"/>
    </row>
    <row r="77" customFormat="false" ht="30" hidden="false" customHeight="true" outlineLevel="0" collapsed="false">
      <c r="B77" s="46" t="s">
        <v>325</v>
      </c>
      <c r="C77" s="47" t="s">
        <v>326</v>
      </c>
      <c r="D77" s="47"/>
      <c r="E77" s="47"/>
      <c r="F77" s="47"/>
      <c r="G77" s="47"/>
      <c r="H77" s="47"/>
    </row>
    <row r="78" customFormat="false" ht="30" hidden="false" customHeight="true" outlineLevel="0" collapsed="false">
      <c r="B78" s="46" t="s">
        <v>327</v>
      </c>
      <c r="C78" s="47" t="s">
        <v>328</v>
      </c>
      <c r="D78" s="47"/>
      <c r="E78" s="47"/>
      <c r="F78" s="47"/>
      <c r="G78" s="47"/>
      <c r="H78" s="47"/>
    </row>
    <row r="79" customFormat="false" ht="30" hidden="false" customHeight="true" outlineLevel="0" collapsed="false">
      <c r="B79" s="46" t="s">
        <v>329</v>
      </c>
      <c r="C79" s="47" t="s">
        <v>330</v>
      </c>
      <c r="D79" s="47"/>
      <c r="E79" s="47"/>
      <c r="F79" s="47"/>
      <c r="G79" s="47"/>
      <c r="H79" s="47"/>
    </row>
    <row r="80" customFormat="false" ht="30" hidden="false" customHeight="true" outlineLevel="0" collapsed="false">
      <c r="B80" s="46" t="s">
        <v>331</v>
      </c>
      <c r="C80" s="47" t="s">
        <v>332</v>
      </c>
      <c r="D80" s="47"/>
      <c r="E80" s="47"/>
      <c r="F80" s="47"/>
      <c r="G80" s="47"/>
      <c r="H80" s="47"/>
    </row>
    <row r="81" customFormat="false" ht="30" hidden="false" customHeight="true" outlineLevel="0" collapsed="false">
      <c r="B81" s="46" t="s">
        <v>333</v>
      </c>
      <c r="C81" s="47" t="s">
        <v>334</v>
      </c>
      <c r="D81" s="47"/>
      <c r="E81" s="47"/>
      <c r="F81" s="47"/>
      <c r="G81" s="47"/>
      <c r="H81" s="47"/>
    </row>
  </sheetData>
  <mergeCells count="13">
    <mergeCell ref="C69:H69"/>
    <mergeCell ref="C70:H70"/>
    <mergeCell ref="C71:H71"/>
    <mergeCell ref="C72:H72"/>
    <mergeCell ref="C73:H73"/>
    <mergeCell ref="C74:H74"/>
    <mergeCell ref="C75:H75"/>
    <mergeCell ref="C76:H76"/>
    <mergeCell ref="C77:H77"/>
    <mergeCell ref="C78:H78"/>
    <mergeCell ref="C79:H79"/>
    <mergeCell ref="C80:H80"/>
    <mergeCell ref="C81:H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2026-09-08T08:44:48Z</dcterms:created>
  <dc:creator>openpyxl</dc:creator>
  <dc:description/>
  <dc:language>en-US</dc:language>
  <cp:lastModifiedBy/>
  <dcterms:modified xsi:type="dcterms:W3CDTF">2026-09-08T08:45:14Z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