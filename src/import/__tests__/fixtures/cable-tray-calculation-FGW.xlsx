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LE DATA (OD)" sheetId="1" state="visible" r:id="rId3"/>
    <sheet name="CABLE SCHEDULE" sheetId="2" state="visible" r:id="rId4"/>
    <sheet name="SUMMARY BY TYPE" sheetId="3" state="visible" r:id="rId5"/>
    <sheet name="TRAY CALCULATION" sheetId="4" state="visible" r:id="rId6"/>
  </sheets>
  <definedNames>
    <definedName function="false" hidden="false" name="OD_LIST" vbProcedure="false">'CABLE DATA (OD)'!$D$6:$D$21</definedName>
    <definedName function="false" hidden="false" name="TIPE_KODE" vbProcedure="false">'CABLE DATA (OD)'!$B$6:$B$21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<sst xmlns="http://schemas.openxmlformats.org/spreadsheetml/2006/main" count="1036" uniqueCount="327">
  <si>
    <t xml:space="preserve">DATA DIAMETER LUAR KABEL (OD)</t>
  </si>
  <si>
    <t xml:space="preserve">PERHITUNGAN CABLE TRAY - FINISH GOOD WAREHOUSE</t>
  </si>
  <si>
    <t xml:space="preserve">Sel kuning = input, boleh diubah. Seluruh sheet lain mengambil OD dari tabel ini.</t>
  </si>
  <si>
    <t xml:space="preserve">NO</t>
  </si>
  <si>
    <t xml:space="preserve">KODE TIPE</t>
  </si>
  <si>
    <t xml:space="preserve">KONFIGURASI KABEL</t>
  </si>
  <si>
    <t xml:space="preserve">OD (mm)</t>
  </si>
  <si>
    <t xml:space="preserve">LUAS 1 KABEL (mm2)</t>
  </si>
  <si>
    <t xml:space="preserve">CATATAN</t>
  </si>
  <si>
    <t xml:space="preserve">3C-2.5 (FRC)</t>
  </si>
  <si>
    <t xml:space="preserve">Cu/MGT/XLPE/LSZH 3x2.5mm2</t>
  </si>
  <si>
    <t xml:space="preserve">Tipikal - verifikasi katalog</t>
  </si>
  <si>
    <t xml:space="preserve">3C-4</t>
  </si>
  <si>
    <t xml:space="preserve">Cu/XLPE/PVC 3x4mm2</t>
  </si>
  <si>
    <t xml:space="preserve">3C-4 (FRC)</t>
  </si>
  <si>
    <t xml:space="preserve">Cu/MGT/XLPE/LSZH 3x4mm2</t>
  </si>
  <si>
    <t xml:space="preserve">2C-2.5 (FRC)</t>
  </si>
  <si>
    <t xml:space="preserve">Cu/MGT/XLPE/LSZH 2x2.5mm2</t>
  </si>
  <si>
    <t xml:space="preserve">Kabel kontrol fire alarm</t>
  </si>
  <si>
    <t xml:space="preserve">5C-4</t>
  </si>
  <si>
    <t xml:space="preserve">Cu/XLPE/PVC 5x4mm2</t>
  </si>
  <si>
    <t xml:space="preserve">5C-10</t>
  </si>
  <si>
    <t xml:space="preserve">Cu/XLPE/PVC 5x10mm2</t>
  </si>
  <si>
    <t xml:space="preserve">5C-10 (FRC)</t>
  </si>
  <si>
    <t xml:space="preserve">Cu/MGT/XLPE/LSZH 5x10mm2</t>
  </si>
  <si>
    <t xml:space="preserve">FRC lebih besar ~7%</t>
  </si>
  <si>
    <t xml:space="preserve">5C-16</t>
  </si>
  <si>
    <t xml:space="preserve">Cu/XLPE/PVC 5x16mm2</t>
  </si>
  <si>
    <t xml:space="preserve">4C-16</t>
  </si>
  <si>
    <t xml:space="preserve">Cu/XLPE/PVC 4x16mm2</t>
  </si>
  <si>
    <t xml:space="preserve">4C-25</t>
  </si>
  <si>
    <t xml:space="preserve">Cu/XLPE/PVC 4x25mm2</t>
  </si>
  <si>
    <t xml:space="preserve">4C-120</t>
  </si>
  <si>
    <t xml:space="preserve">Cu/XLPE/PVC 4x120mm2</t>
  </si>
  <si>
    <t xml:space="preserve">4C-240 (FRC)</t>
  </si>
  <si>
    <t xml:space="preserve">Cu/MGT/XLPE/LSZH 4x240mm2</t>
  </si>
  <si>
    <t xml:space="preserve">FRC lebih besar ~6%</t>
  </si>
  <si>
    <t xml:space="preserve">1C-16</t>
  </si>
  <si>
    <t xml:space="preserve">Cu/PVC 1x16mm2 G/Y</t>
  </si>
  <si>
    <t xml:space="preserve">Kabel pembumian</t>
  </si>
  <si>
    <t xml:space="preserve">1C-120</t>
  </si>
  <si>
    <t xml:space="preserve">Cu/PVC 1x120mm2 G/Y</t>
  </si>
  <si>
    <t xml:space="preserve">1C-120 (FRC)</t>
  </si>
  <si>
    <t xml:space="preserve">Cu/LSZH 1x120mm2 G/Y</t>
  </si>
  <si>
    <t xml:space="preserve">Kabel pembumian LSZH</t>
  </si>
  <si>
    <t xml:space="preserve">1C-240</t>
  </si>
  <si>
    <t xml:space="preserve">Cu/XLPE/PVC 1x240mm2</t>
  </si>
  <si>
    <t xml:space="preserve">Single core - inti &amp; pembumian</t>
  </si>
  <si>
    <t xml:space="preserve">Catatan: nilai OD di atas adalah nilai TIPIKAL kabel Cu/XLPE/PVC (N2XY) pasaran Indonesia.</t>
  </si>
  <si>
    <t xml:space="preserve">WAJIB diverifikasi ke katalog pabrikan (Supreme / Kabelindo / Kabelmetal) sebelum dipakai untuk konstruksi.</t>
  </si>
  <si>
    <t xml:space="preserve">Kabel FRC (Cu/MGT/XLPE/LSZH) diberi OD lebih besar dari kabel biasa dengan penampang sama.</t>
  </si>
  <si>
    <t xml:space="preserve">CABLE SCHEDULE - REKAP SELURUH KABEL</t>
  </si>
  <si>
    <t xml:space="preserve">Sumber: ME-D-LV-6000 / 6001 / 6002 / 6003 (Hanuman Brewery Expansion Phase 3)</t>
  </si>
  <si>
    <t xml:space="preserve">PANEL</t>
  </si>
  <si>
    <t xml:space="preserve">CIRCUIT No.</t>
  </si>
  <si>
    <t xml:space="preserve">KATEGORI</t>
  </si>
  <si>
    <t xml:space="preserve">DAYA (kW)</t>
  </si>
  <si>
    <t xml:space="preserve">DESKRIPSI KABEL</t>
  </si>
  <si>
    <t xml:space="preserve">TIPE</t>
  </si>
  <si>
    <t xml:space="preserve">JML RUN</t>
  </si>
  <si>
    <t xml:space="preserve">LEBAR TOTAL (mm)</t>
  </si>
  <si>
    <t xml:space="preserve">LUAS TOTAL (mm2)</t>
  </si>
  <si>
    <t xml:space="preserve">MDB-FGW-L0</t>
  </si>
  <si>
    <t xml:space="preserve">INCOMING MDB</t>
  </si>
  <si>
    <t xml:space="preserve">INCOMING</t>
  </si>
  <si>
    <t xml:space="preserve">4x(4x1C-240mm2 Cu/XLPE/PVC) dari LVMSB#6.1</t>
  </si>
  <si>
    <t xml:space="preserve">INCOMING MDB (E)</t>
  </si>
  <si>
    <t xml:space="preserve">E 2x1C-240mm2 Cu/PVC</t>
  </si>
  <si>
    <t xml:space="preserve">FEEDER DB-FGW-L0-LP</t>
  </si>
  <si>
    <t xml:space="preserve">FEEDER</t>
  </si>
  <si>
    <t xml:space="preserve">2x4C-120mm2 Cu/XLPE/PVC</t>
  </si>
  <si>
    <t xml:space="preserve">FEEDER DB-FGW-L0-LP (E)</t>
  </si>
  <si>
    <t xml:space="preserve">E 1C-120mm2 Cu/PVC G/Y</t>
  </si>
  <si>
    <t xml:space="preserve">FEEDER CP-FGW-L0-MVAC</t>
  </si>
  <si>
    <t xml:space="preserve">1x4C-25mm2 Cu/XLPE/PVC</t>
  </si>
  <si>
    <t xml:space="preserve">FEEDER CP-FGW-L0-MVAC (E)</t>
  </si>
  <si>
    <t xml:space="preserve">E 1C-16mm2 Cu/PVC G/Y</t>
  </si>
  <si>
    <t xml:space="preserve">DB-FGW-L0-LP</t>
  </si>
  <si>
    <t xml:space="preserve">INCOMING EX DEG</t>
  </si>
  <si>
    <t xml:space="preserve">1x4C-16mm2 Cu/XLPE/PVC</t>
  </si>
  <si>
    <t xml:space="preserve">INCOMING EX DEG (E)</t>
  </si>
  <si>
    <t xml:space="preserve">KONTROL FIRE ALARM</t>
  </si>
  <si>
    <t xml:space="preserve">KONTROL</t>
  </si>
  <si>
    <t xml:space="preserve">1x2C-2.5mm2 Cu/MGT/XLPE/LSZH (FRC)</t>
  </si>
  <si>
    <t xml:space="preserve">DB-FGW-L0-LP-L1</t>
  </si>
  <si>
    <t xml:space="preserve">OUTGOING</t>
  </si>
  <si>
    <t xml:space="preserve">1x3C-4mm2 Cu/XLPE/PVC INCLUDING (E)</t>
  </si>
  <si>
    <t xml:space="preserve">DB-FGW-L0-LP-L2</t>
  </si>
  <si>
    <t xml:space="preserve">DB-FGW-L0-LP-L3</t>
  </si>
  <si>
    <t xml:space="preserve">DB-FGW-L0-LP-L4</t>
  </si>
  <si>
    <t xml:space="preserve">DB-FGW-L0-LP-L5</t>
  </si>
  <si>
    <t xml:space="preserve">DB-FGW-L0-LP-L6</t>
  </si>
  <si>
    <t xml:space="preserve">DB-FGW-L0-LP-L7</t>
  </si>
  <si>
    <t xml:space="preserve">DB-FGW-L0-LP-L8</t>
  </si>
  <si>
    <t xml:space="preserve">DB-FGW-L0-LP-L9</t>
  </si>
  <si>
    <t xml:space="preserve">DB-FGW-L0-LP-L10</t>
  </si>
  <si>
    <t xml:space="preserve">DB-FGW-L0-LP-L11</t>
  </si>
  <si>
    <t xml:space="preserve">DB-FGW-L0-LP-L12</t>
  </si>
  <si>
    <t xml:space="preserve">DB-FGW-L0-LP-L13</t>
  </si>
  <si>
    <t xml:space="preserve">DB-FGW-L0-LP-L14</t>
  </si>
  <si>
    <t xml:space="preserve">DB-FGW-L0-LP-L15</t>
  </si>
  <si>
    <t xml:space="preserve">DB-FGW-L0-LP-L16</t>
  </si>
  <si>
    <t xml:space="preserve">DB-FGW-L0-LP-L17</t>
  </si>
  <si>
    <t xml:space="preserve">DB-FGW-L0-LP-L18</t>
  </si>
  <si>
    <t xml:space="preserve">DB-FGW-L0-LP-L19</t>
  </si>
  <si>
    <t xml:space="preserve">DB-FGW-L0-LP-L20</t>
  </si>
  <si>
    <t xml:space="preserve">DB-FGW-L0-LP-L21</t>
  </si>
  <si>
    <t xml:space="preserve">DB-FGW-L0-LP-L22</t>
  </si>
  <si>
    <t xml:space="preserve">DB-FGW-L0-LP-L23</t>
  </si>
  <si>
    <t xml:space="preserve">DB-FGW-L0-LP-L24</t>
  </si>
  <si>
    <t xml:space="preserve">DB-FGW-L0-LP-L25</t>
  </si>
  <si>
    <t xml:space="preserve">DB-FGW-L0-LP-L26</t>
  </si>
  <si>
    <t xml:space="preserve">DB-FGW-L0-LP-L27</t>
  </si>
  <si>
    <t xml:space="preserve">DB-FGW-L0-LP-L28</t>
  </si>
  <si>
    <t xml:space="preserve">DB-FGW-L0-LP-L29</t>
  </si>
  <si>
    <t xml:space="preserve">DB-FGW-L0-LP-L30</t>
  </si>
  <si>
    <t xml:space="preserve">DB-FGW-L0-LP-L31</t>
  </si>
  <si>
    <t xml:space="preserve">DB-FGW-L0-LP-L32</t>
  </si>
  <si>
    <t xml:space="preserve">DB-FGW-L0-LP-L33</t>
  </si>
  <si>
    <t xml:space="preserve">1x3C-2.5mm2 Cu/MGT/XLPE/LSZH INCLUDING (E)</t>
  </si>
  <si>
    <t xml:space="preserve">DB-FGW-L0-LP-EM01</t>
  </si>
  <si>
    <t xml:space="preserve">DB-FGW-L0-LP-EM02</t>
  </si>
  <si>
    <t xml:space="preserve">DB-FGW-L0-LP-EM03</t>
  </si>
  <si>
    <t xml:space="preserve">DB-FGW-L0-LP-EM04</t>
  </si>
  <si>
    <t xml:space="preserve">DB-FGW-L0-LP-EM05</t>
  </si>
  <si>
    <t xml:space="preserve">DB-FGW-L0-LP-EM06</t>
  </si>
  <si>
    <t xml:space="preserve">DB-FGW-L0-LP-EM07</t>
  </si>
  <si>
    <t xml:space="preserve">DB-FGW-L0-LP-S01</t>
  </si>
  <si>
    <t xml:space="preserve">DB-FGW-L0-LP-S02</t>
  </si>
  <si>
    <t xml:space="preserve">DB-FGW-L0-LP-S03</t>
  </si>
  <si>
    <t xml:space="preserve">1x5C-4mm2 Cu/XLPE/PVC INCLUDING (E)</t>
  </si>
  <si>
    <t xml:space="preserve">DB-FGW-L0-LP-S04</t>
  </si>
  <si>
    <t xml:space="preserve">DB-FGW-L0-LP-S05</t>
  </si>
  <si>
    <t xml:space="preserve">DB-FGW-L0-LP-S06</t>
  </si>
  <si>
    <t xml:space="preserve">DB-FGW-L0-LP-S07</t>
  </si>
  <si>
    <t xml:space="preserve">DB-FGW-L0-LP-S08</t>
  </si>
  <si>
    <t xml:space="preserve">DB-FGW-L0-LP-S09</t>
  </si>
  <si>
    <t xml:space="preserve">DB-FGW-L0-LP-S10</t>
  </si>
  <si>
    <t xml:space="preserve">DB-FGW-L0-LP-S11</t>
  </si>
  <si>
    <t xml:space="preserve">DB-FGW-L0-LP-S12</t>
  </si>
  <si>
    <t xml:space="preserve">DB-FGW-L0-LP-S13</t>
  </si>
  <si>
    <t xml:space="preserve">DB-FGW-L0-LP-S14</t>
  </si>
  <si>
    <t xml:space="preserve">DB-FGW-L0-LP-S15</t>
  </si>
  <si>
    <t xml:space="preserve">DB-FGW-L0-LP-S16</t>
  </si>
  <si>
    <t xml:space="preserve">DB-FGW-L0-LP-S17</t>
  </si>
  <si>
    <t xml:space="preserve">DB-FGW-L0-LP-S18</t>
  </si>
  <si>
    <t xml:space="preserve">DB-FGW-L0-LP-S19</t>
  </si>
  <si>
    <t xml:space="preserve">DB-FGW-L0-LP-S20</t>
  </si>
  <si>
    <t xml:space="preserve">DB-FGW-L0-LP-S21</t>
  </si>
  <si>
    <t xml:space="preserve">DB-FGW-L0-LP-S22</t>
  </si>
  <si>
    <t xml:space="preserve">DB-FGW-L0-LP-S23</t>
  </si>
  <si>
    <t xml:space="preserve">DB-FGW-L0-LP-S24</t>
  </si>
  <si>
    <t xml:space="preserve">DB-FGW-L0-LP-S25</t>
  </si>
  <si>
    <t xml:space="preserve">DB-FGW-L0-LP-S26</t>
  </si>
  <si>
    <t xml:space="preserve">DB-FGW-L0-LP-S27</t>
  </si>
  <si>
    <t xml:space="preserve">DB-FGW-L0-LP-S28</t>
  </si>
  <si>
    <t xml:space="preserve">DB-FGW-L0-LP-S29</t>
  </si>
  <si>
    <t xml:space="preserve">DB-FGW-L0-LP-S30</t>
  </si>
  <si>
    <t xml:space="preserve">DB-FGW-L0-LP-S31</t>
  </si>
  <si>
    <t xml:space="preserve">DB-FGW-L0-LP-S32</t>
  </si>
  <si>
    <t xml:space="preserve">DB-FGW-L0-LP-S33</t>
  </si>
  <si>
    <t xml:space="preserve">DB-FGW-L0-LP-S34</t>
  </si>
  <si>
    <t xml:space="preserve">DB-FGW-L0-LP-S35</t>
  </si>
  <si>
    <t xml:space="preserve">DB-FGW-L0-LP-S36</t>
  </si>
  <si>
    <t xml:space="preserve">DB-FGW-L0-LP-S37</t>
  </si>
  <si>
    <t xml:space="preserve">DB-FGW-L0-LP-S38</t>
  </si>
  <si>
    <t xml:space="preserve">DB-FGW-L0-LP-S39</t>
  </si>
  <si>
    <t xml:space="preserve">DB-FGW-L0-LP-S40</t>
  </si>
  <si>
    <t xml:space="preserve">DB-FGW-L0-LP-S41</t>
  </si>
  <si>
    <t xml:space="preserve">DB-FGW-L0-LP-S42</t>
  </si>
  <si>
    <t xml:space="preserve">DB-FGW-L0-LP-S43</t>
  </si>
  <si>
    <t xml:space="preserve">DB-FGW-L0-LP-S44</t>
  </si>
  <si>
    <t xml:space="preserve">DB-FGW-L0-LP-S45</t>
  </si>
  <si>
    <t xml:space="preserve">DB-FGW-L0-LP-S46</t>
  </si>
  <si>
    <t xml:space="preserve">DB-FGW-L0-LP-S47</t>
  </si>
  <si>
    <t xml:space="preserve">DB-FGW-L0-LP-S48</t>
  </si>
  <si>
    <t xml:space="preserve">DB-FGW-L0-LP-S49</t>
  </si>
  <si>
    <t xml:space="preserve">1x5C-16mm2 Cu/XLPE/PVC INCLUDING (E)</t>
  </si>
  <si>
    <t xml:space="preserve">DB-FGW-L0-LP-S50</t>
  </si>
  <si>
    <t xml:space="preserve">DB-FGW-L0-LP-S51</t>
  </si>
  <si>
    <t xml:space="preserve">DB-FGW-L0-LP-S52</t>
  </si>
  <si>
    <t xml:space="preserve">DB-FGW-L0-LP-S53</t>
  </si>
  <si>
    <t xml:space="preserve">DB-FGW-L0-LP-S54</t>
  </si>
  <si>
    <t xml:space="preserve">DB-FGW-L0-LP-S55</t>
  </si>
  <si>
    <t xml:space="preserve">DB-FGW-L0-LP-S56</t>
  </si>
  <si>
    <t xml:space="preserve">DB-FGW-L0-LP-S57</t>
  </si>
  <si>
    <t xml:space="preserve">DB-FGW-L0-LP-S58</t>
  </si>
  <si>
    <t xml:space="preserve">DB-FGW-L0-LP-S59</t>
  </si>
  <si>
    <t xml:space="preserve">DB-FGW-L0-LP-S60</t>
  </si>
  <si>
    <t xml:space="preserve">DB-FGW-L0-LP-S61</t>
  </si>
  <si>
    <t xml:space="preserve">DB-FGW-L0-LP-S62</t>
  </si>
  <si>
    <t xml:space="preserve">DB-FGW-L0-LP-S63</t>
  </si>
  <si>
    <t xml:space="preserve">DB-FGW-L0-LP-S64</t>
  </si>
  <si>
    <t xml:space="preserve">DB-FGW-L0-LP-S65</t>
  </si>
  <si>
    <t xml:space="preserve">1x3C-4mm2 Cu/MGT/XLPE/LSZH INCLUDING (E)</t>
  </si>
  <si>
    <t xml:space="preserve">DB-FGW-L0-LP-S66</t>
  </si>
  <si>
    <t xml:space="preserve">DB-FGW-L0-LP-S67</t>
  </si>
  <si>
    <t xml:space="preserve">CP-FGW-L0-MVAC</t>
  </si>
  <si>
    <t xml:space="preserve">CP-FGW-L0-MVAC-01</t>
  </si>
  <si>
    <t xml:space="preserve">CP-FGW-L0-MVAC-02</t>
  </si>
  <si>
    <t xml:space="preserve">CP-FGW-L0-MVAC-03</t>
  </si>
  <si>
    <t xml:space="preserve">CP-FGW-L0-MVAC-04</t>
  </si>
  <si>
    <t xml:space="preserve">CP-FGW-L0-MVAC-05</t>
  </si>
  <si>
    <t xml:space="preserve">CP-FGW-L0-MVAC-06</t>
  </si>
  <si>
    <t xml:space="preserve">CP-FGW-L0-MVAC-07</t>
  </si>
  <si>
    <t xml:space="preserve">CP-FGW-L0-MVAC-08</t>
  </si>
  <si>
    <t xml:space="preserve">CP-FGW-L0-MVAC-09</t>
  </si>
  <si>
    <t xml:space="preserve">CP-FGW-L0-MVAC-10</t>
  </si>
  <si>
    <t xml:space="preserve">CP-FGW-L0-MVAC-11</t>
  </si>
  <si>
    <t xml:space="preserve">CP-FGW-L0-MVAC-12</t>
  </si>
  <si>
    <t xml:space="preserve">CP-FGW-L0-MVAC-13</t>
  </si>
  <si>
    <t xml:space="preserve">CP-FGW-L0-MVAC-14</t>
  </si>
  <si>
    <t xml:space="preserve">CP-FGW-L0-MVAC-15</t>
  </si>
  <si>
    <t xml:space="preserve">CP-FGW-L0-MVAC-16</t>
  </si>
  <si>
    <t xml:space="preserve">CP-FGW-L0-MVAC-17</t>
  </si>
  <si>
    <t xml:space="preserve">CP-FGW-L0-MVAC-18</t>
  </si>
  <si>
    <t xml:space="preserve">CP-FGW-L0-MVAC-19</t>
  </si>
  <si>
    <t xml:space="preserve">CP-FGW-L1-MVAC</t>
  </si>
  <si>
    <t xml:space="preserve">4x(1x4C-240mm2 Cu/MGT/XLPE/LSZH (FRC))</t>
  </si>
  <si>
    <t xml:space="preserve">2x(1C-120mm2 Cu/LSZH G/Y)</t>
  </si>
  <si>
    <t xml:space="preserve">CP-FGW-L1-MVAC-01</t>
  </si>
  <si>
    <t xml:space="preserve">1x5C-10mm2 Cu/XLPE/PVC INCLUDING (E)</t>
  </si>
  <si>
    <t xml:space="preserve">CP-FGW-L1-MVAC-02</t>
  </si>
  <si>
    <t xml:space="preserve">CP-FGW-L1-MVAC-03</t>
  </si>
  <si>
    <t xml:space="preserve">CP-FGW-L1-MVAC-04</t>
  </si>
  <si>
    <t xml:space="preserve">CP-FGW-L1-MVAC-05</t>
  </si>
  <si>
    <t xml:space="preserve">CP-FGW-L1-MVAC-06</t>
  </si>
  <si>
    <t xml:space="preserve">CP-FGW-L1-MVAC-07</t>
  </si>
  <si>
    <t xml:space="preserve">CP-FGW-L1-MVAC-08</t>
  </si>
  <si>
    <t xml:space="preserve">CP-FGW-L1-MVAC-09</t>
  </si>
  <si>
    <t xml:space="preserve">1x5C-10mm2 Cu/MGT/XLPE/LSZH INCLUDING (E)</t>
  </si>
  <si>
    <t xml:space="preserve">CP-FGW-L1-MVAC-10</t>
  </si>
  <si>
    <t xml:space="preserve">CP-FGW-L1-MVAC-11</t>
  </si>
  <si>
    <t xml:space="preserve">CP-FGW-L1-MVAC-12</t>
  </si>
  <si>
    <t xml:space="preserve">CP-FGW-L1-MVAC-13</t>
  </si>
  <si>
    <t xml:space="preserve">CP-FGW-L1-MVAC-14</t>
  </si>
  <si>
    <t xml:space="preserve">CP-FGW-L1-MVAC-15</t>
  </si>
  <si>
    <t xml:space="preserve">CP-FGW-L1-MVAC-16</t>
  </si>
  <si>
    <t xml:space="preserve">CP-FGW-L1-MVAC-17</t>
  </si>
  <si>
    <t xml:space="preserve">CP-FGW-L1-MVAC-18</t>
  </si>
  <si>
    <t xml:space="preserve">CP-FGW-L1-MVAC-19</t>
  </si>
  <si>
    <t xml:space="preserve">CP-FGW-L1-MVAC-20</t>
  </si>
  <si>
    <t xml:space="preserve">CP-FGW-L1-MVAC-21</t>
  </si>
  <si>
    <t xml:space="preserve">CP-FGW-L1-MVAC-22</t>
  </si>
  <si>
    <t xml:space="preserve">CP-FGW-L1-MVAC-23</t>
  </si>
  <si>
    <t xml:space="preserve">CP-FGW-L1-MVAC-24</t>
  </si>
  <si>
    <t xml:space="preserve">CP-FGW-L1-MVAC-25</t>
  </si>
  <si>
    <t xml:space="preserve">CP-FGW-L1-MVAC-26</t>
  </si>
  <si>
    <t xml:space="preserve">CP-FGW-L1-MVAC-27</t>
  </si>
  <si>
    <t xml:space="preserve">CP-FGW-L1-MVAC-28</t>
  </si>
  <si>
    <t xml:space="preserve">TOTAL</t>
  </si>
  <si>
    <t xml:space="preserve">REKAPITULASI KABEL</t>
  </si>
  <si>
    <t xml:space="preserve">A. REKAP PER TIPE KABEL</t>
  </si>
  <si>
    <t xml:space="preserve">TIPE KABEL</t>
  </si>
  <si>
    <t xml:space="preserve">% THD LEBAR</t>
  </si>
  <si>
    <t xml:space="preserve">B. REKAP PER PANEL</t>
  </si>
  <si>
    <t xml:space="preserve">Catatan: kolom DAYA bersifat informatif - kabel feeder antar panel dan beban outgoing panel tujuan tercatat ganda.</t>
  </si>
  <si>
    <t xml:space="preserve">C. REKAP PER KATEGORI</t>
  </si>
  <si>
    <t xml:space="preserve">PERHITUNGAN UKURAN &amp; JUMLAH JALUR CABLE TRAY</t>
  </si>
  <si>
    <t xml:space="preserve">Finish Good Warehouse - MDB-FGW-L0, DB-FGW-L0-LP, CP-FGW-L0-MVAC, CP-FGW-L1-MVAC</t>
  </si>
  <si>
    <t xml:space="preserve">A. PARAMETER PERHITUNGAN (sel kuning = input)</t>
  </si>
  <si>
    <t xml:space="preserve">Faktor spare / cadangan pengembangan</t>
  </si>
  <si>
    <t xml:space="preserve">Faktor jarak antar kabel (1.00 = bersentuhan)</t>
  </si>
  <si>
    <t xml:space="preserve">Tinggi cable tray</t>
  </si>
  <si>
    <t xml:space="preserve">mm</t>
  </si>
  <si>
    <t xml:space="preserve">Maksimum fill ratio (luas)</t>
  </si>
  <si>
    <t xml:space="preserve">Jumlah layer / susunan kabel</t>
  </si>
  <si>
    <t xml:space="preserve">layer</t>
  </si>
  <si>
    <t xml:space="preserve">Lebar tray standar yang dipilih</t>
  </si>
  <si>
    <t xml:space="preserve">B. REKAP DATA KABEL (link dari CABLE SCHEDULE)</t>
  </si>
  <si>
    <t xml:space="preserve">Jumlah run kabel total</t>
  </si>
  <si>
    <t xml:space="preserve">run</t>
  </si>
  <si>
    <t xml:space="preserve">Jumlah OD seluruh kabel (SOD)</t>
  </si>
  <si>
    <t xml:space="preserve">Jumlah luas penampang kabel (SA)</t>
  </si>
  <si>
    <t xml:space="preserve">mm2</t>
  </si>
  <si>
    <t xml:space="preserve">Total kolom daya - informatif saja</t>
  </si>
  <si>
    <t xml:space="preserve">kW (feeder &amp; outgoing tercatat ganda, bukan daya bersih)</t>
  </si>
  <si>
    <t xml:space="preserve">C. METODE 1 - PENJUMLAHAN DIAMETER (SOD)</t>
  </si>
  <si>
    <t xml:space="preserve">W1 = SOD x faktor jarak x (1 + spare) / layer</t>
  </si>
  <si>
    <t xml:space="preserve">Lebar dibutuhkan metode 1</t>
  </si>
  <si>
    <t xml:space="preserve">D. METODE 2 - FILL RATIO / LUAS</t>
  </si>
  <si>
    <t xml:space="preserve">W2 = SA x (1 + spare) / fill ratio / tinggi tray / layer</t>
  </si>
  <si>
    <t xml:space="preserve">Lebar dibutuhkan metode 2</t>
  </si>
  <si>
    <t xml:space="preserve">E. HASIL PERHITUNGAN</t>
  </si>
  <si>
    <t xml:space="preserve">LEBAR TRAY DIBUTUHKAN = MAX(W1 ; W2)</t>
  </si>
  <si>
    <t xml:space="preserve">Metode yang menentukan</t>
  </si>
  <si>
    <t xml:space="preserve">Lebar tray standar dipilih</t>
  </si>
  <si>
    <t xml:space="preserve">JUMLAH JALUR TRAY DIBUTUHKAN</t>
  </si>
  <si>
    <t xml:space="preserve">jalur</t>
  </si>
  <si>
    <t xml:space="preserve">Luas tray tersedia total</t>
  </si>
  <si>
    <t xml:space="preserve">FILL RATIO AKTUAL</t>
  </si>
  <si>
    <t xml:space="preserve">CEK TERHADAP MAKS. FILL RATIO</t>
  </si>
  <si>
    <t xml:space="preserve">Ukuran tray tertulis (W x H)</t>
  </si>
  <si>
    <t xml:space="preserve">F. ALTERNATIF LEBAR TRAY STANDAR</t>
  </si>
  <si>
    <t xml:space="preserve">LEBAR TRAY (mm)</t>
  </si>
  <si>
    <t xml:space="preserve">LAYER 1 - JALUR</t>
  </si>
  <si>
    <t xml:space="preserve">LAYER 1 - FILL</t>
  </si>
  <si>
    <t xml:space="preserve">LAYER 2 - JALUR</t>
  </si>
  <si>
    <t xml:space="preserve">LAYER 2 - FILL</t>
  </si>
  <si>
    <t xml:space="preserve">LAYER 3 - JALUR</t>
  </si>
  <si>
    <t xml:space="preserve">LAYER 3 - FILL</t>
  </si>
  <si>
    <t xml:space="preserve">Catatan: susunan lebih dari 1 layer wajib dikoreksi faktor grouping (PUIL 2011 / IEC 60364-5-52).</t>
  </si>
  <si>
    <t xml:space="preserve">G. PERHITUNGAN PER PANEL (bila rute tray dipisah per panel)</t>
  </si>
  <si>
    <t xml:space="preserve">SOD (mm)</t>
  </si>
  <si>
    <t xml:space="preserve">SA (mm2)</t>
  </si>
  <si>
    <t xml:space="preserve">LEBAR DIBUTUHKAN (mm)</t>
  </si>
  <si>
    <t xml:space="preserve">JALUR @ LEBAR DIPILIH</t>
  </si>
  <si>
    <t xml:space="preserve">FILL AKTUAL</t>
  </si>
  <si>
    <t xml:space="preserve">CEK</t>
  </si>
  <si>
    <t xml:space="preserve">TOTAL (bila dijadikan satu rute)</t>
  </si>
  <si>
    <t xml:space="preserve">H. CATATAN, ASUMSI &amp; BATASAN</t>
  </si>
  <si>
    <t xml:space="preserve">1. Sumber data kabel: ME-D-LV-6000 (MDB-FGW-L0), ME-D-LV-6001 (DB-FGW-L0-LP), ME-D-LV-6002 (CP-FGW-L0-MVAC), ME-D-LV-6003 (CP-FGW-L1-MVAC) - Rev.0, 18-09-2026.</t>
  </si>
  <si>
    <t xml:space="preserve">2. Seluruh kabel outgoing diekstrak otomatis dari PDF gambar: 107 circuit DB-FGW-L0-LP, 19 circuit CP-FGW-L0-MVAC, 28 circuit CP-FGW-L1-MVAC.</t>
  </si>
  <si>
    <t xml:space="preserve">   Verifikasi silang: total daya hasil ekstraksi sama persis dengan Pt pada gambar (198.01 kW / 26.38 kW / 536.256 kW).</t>
  </si>
  <si>
    <t xml:space="preserve">3. Nilai OD pada sheet CABLE DATA (OD) masih nilai TIPIKAL dan WAJIB diverifikasi ke katalog pabrikan (Supreme / Kabelindo / Kabelmetal).</t>
  </si>
  <si>
    <t xml:space="preserve">4. Kabel feeder antar panel hanya dihitung SATU KALI, dicatat pada panel sumbernya (MDB-FGW-L0) dengan kategori FEEDER,</t>
  </si>
  <si>
    <t xml:space="preserve">   supaya tidak terhitung dua kali sebagai incoming panel tujuan (DB-FGW-L0-LP dan CP-FGW-L0-MVAC).</t>
  </si>
  <si>
    <t xml:space="preserve">5. Incoming berformat 4x(4x1C-240mm2) dihitung 16 run daya + 2 run pembumian; incoming CP-FGW-L1-MVAC 4x(1x4C-240mm2) dihitung 4 run + 2 run pembumian.</t>
  </si>
  <si>
    <t xml:space="preserve">6. Perhitungan utama mengasumsikan SELURUH kabel berada pada satu rute tray = kondisi paling berat. Bila rute dipisah, pakai tabel G.</t>
  </si>
  <si>
    <t xml:space="preserve">7. Kabel FRC (Cu/MGT/XLPE/LSZH) untuk fan emergency dan kontrol fire alarm harus dipisah tray atau diberi sekat dari kabel daya normal.</t>
  </si>
  <si>
    <t xml:space="preserve">8. Kabel kontrol fire alarm 1x2C-2.5mm2 (FRC) ke DB-FGW-L0-LP dan CP-FGW-L1-MVAC sudah dimasukkan sebagai kategori KONTROL.</t>
  </si>
  <si>
    <t xml:space="preserve">9. Pada susunan 1 layer, Metode 1 (penjumlahan OD) hampir selalu yang menentukan, sehingga fill ratio aktual keluar rendah. Ini benar, bukan kesalahan hitung:</t>
  </si>
  <si>
    <t xml:space="preserve">   metode OD menjamin kabel tersusun sejajar satu lapis (tanpa tumpuk) sehingga kemampuan hantar arus kabel tidak turun.</t>
  </si>
  <si>
    <t xml:space="preserve">10. Susunan lebih dari 1 layer wajib dikoreksi faktor grouping sesuai PUIL 2011 / IEC 60364-5-52.</t>
  </si>
  <si>
    <t xml:space="preserve">11. PANJANG RUTE TIDAK DIHITUNG karena denah / layout belum tersedia. Hasil perhitungan ini adalah LEBAR dan JUMLAH JALUR tray, bukan volume material.</t>
  </si>
  <si>
    <t xml:space="preserve">    Kirimkan layout / denah routing bila perlu dilanjutkan ke BQ material cable tray (panjang, bend, tee, reducer, support).</t>
  </si>
  <si>
    <t xml:space="preserve">12. Circuit yang muncul berulang pada satu nomor dihitung sebagai run terpisah. Pada gambar-gambar ini tidak ditemukan nomor circuit ganda.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</si>
</sst>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#,##0.0"/>
    <numFmt numFmtId="167" formatCode="#,##0.000"/>
    <numFmt numFmtId="168" formatCode="#,##0"/>
    <numFmt numFmtId="169" formatCode="0.0%"/>
    <numFmt numFmtId="170" formatCode="#,##0.00"/>
    <numFmt numFmtId="171" formatCode="0%"/>
    <numFmt numFmtId="172" formatCode="0.00"/>
    <numFmt numFmtId="173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5" t="s">
        <v>10</v>
      </c>
      <c r="D6" s="6" t="n">
        <v>12</v>
      </c>
      <c r="E6" s="7" t="n">
        <f aca="false">PI()/4*D6^2</f>
        <v>113.097335529233</v>
      </c>
      <c r="F6" s="8" t="s">
        <v>11</v>
      </c>
    </row>
    <row r="7" customFormat="false" ht="15" hidden="false" customHeight="false" outlineLevel="0" collapsed="false">
      <c r="A7" s="5" t="n">
        <v>2</v>
      </c>
      <c r="B7" s="5" t="s">
        <v>12</v>
      </c>
      <c r="C7" s="5" t="s">
        <v>13</v>
      </c>
      <c r="D7" s="6" t="n">
        <v>13.5</v>
      </c>
      <c r="E7" s="7" t="n">
        <f aca="false">PI()/4*D7^2</f>
        <v>143.138815279185</v>
      </c>
      <c r="F7" s="8" t="s">
        <v>11</v>
      </c>
    </row>
    <row r="8" customFormat="false" ht="15" hidden="false" customHeight="false" outlineLevel="0" collapsed="false">
      <c r="A8" s="5" t="n">
        <v>3</v>
      </c>
      <c r="B8" s="5" t="s">
        <v>14</v>
      </c>
      <c r="C8" s="5" t="s">
        <v>15</v>
      </c>
      <c r="D8" s="6" t="n">
        <v>14.5</v>
      </c>
      <c r="E8" s="7" t="n">
        <f aca="false">PI()/4*D8^2</f>
        <v>165.129963854314</v>
      </c>
      <c r="F8" s="8" t="s">
        <v>11</v>
      </c>
    </row>
    <row r="9" customFormat="false" ht="15" hidden="false" customHeight="false" outlineLevel="0" collapsed="false">
      <c r="A9" s="5" t="n">
        <v>4</v>
      </c>
      <c r="B9" s="5" t="s">
        <v>16</v>
      </c>
      <c r="C9" s="5" t="s">
        <v>17</v>
      </c>
      <c r="D9" s="6" t="n">
        <v>11</v>
      </c>
      <c r="E9" s="7" t="n">
        <f aca="false">PI()/4*D9^2</f>
        <v>95.0331777710913</v>
      </c>
      <c r="F9" s="8" t="s">
        <v>18</v>
      </c>
    </row>
    <row r="10" customFormat="false" ht="15" hidden="false" customHeight="false" outlineLevel="0" collapsed="false">
      <c r="A10" s="5" t="n">
        <v>5</v>
      </c>
      <c r="B10" s="5" t="s">
        <v>19</v>
      </c>
      <c r="C10" s="5" t="s">
        <v>20</v>
      </c>
      <c r="D10" s="6" t="n">
        <v>16</v>
      </c>
      <c r="E10" s="7" t="n">
        <f aca="false">PI()/4*D10^2</f>
        <v>201.061929829747</v>
      </c>
      <c r="F10" s="8" t="s">
        <v>11</v>
      </c>
    </row>
    <row r="11" customFormat="false" ht="15" hidden="false" customHeight="false" outlineLevel="0" collapsed="false">
      <c r="A11" s="5" t="n">
        <v>6</v>
      </c>
      <c r="B11" s="5" t="s">
        <v>21</v>
      </c>
      <c r="C11" s="5" t="s">
        <v>22</v>
      </c>
      <c r="D11" s="6" t="n">
        <v>21.5</v>
      </c>
      <c r="E11" s="7" t="n">
        <f aca="false">PI()/4*D11^2</f>
        <v>363.05030103047</v>
      </c>
      <c r="F11" s="8" t="s">
        <v>11</v>
      </c>
    </row>
    <row r="12" customFormat="false" ht="15" hidden="false" customHeight="false" outlineLevel="0" collapsed="false">
      <c r="A12" s="5" t="n">
        <v>7</v>
      </c>
      <c r="B12" s="5" t="s">
        <v>23</v>
      </c>
      <c r="C12" s="5" t="s">
        <v>24</v>
      </c>
      <c r="D12" s="6" t="n">
        <v>23</v>
      </c>
      <c r="E12" s="7" t="n">
        <f aca="false">PI()/4*D12^2</f>
        <v>415.47562843725</v>
      </c>
      <c r="F12" s="8" t="s">
        <v>25</v>
      </c>
    </row>
    <row r="13" customFormat="false" ht="15" hidden="false" customHeight="false" outlineLevel="0" collapsed="false">
      <c r="A13" s="5" t="n">
        <v>8</v>
      </c>
      <c r="B13" s="5" t="s">
        <v>26</v>
      </c>
      <c r="C13" s="5" t="s">
        <v>27</v>
      </c>
      <c r="D13" s="6" t="n">
        <v>26</v>
      </c>
      <c r="E13" s="7" t="n">
        <f aca="false">PI()/4*D13^2</f>
        <v>530.929158456675</v>
      </c>
      <c r="F13" s="8" t="s">
        <v>11</v>
      </c>
    </row>
    <row r="14" customFormat="false" ht="15" hidden="false" customHeight="false" outlineLevel="0" collapsed="false">
      <c r="A14" s="5" t="n">
        <v>9</v>
      </c>
      <c r="B14" s="5" t="s">
        <v>28</v>
      </c>
      <c r="C14" s="5" t="s">
        <v>29</v>
      </c>
      <c r="D14" s="6" t="n">
        <v>23</v>
      </c>
      <c r="E14" s="7" t="n">
        <f aca="false">PI()/4*D14^2</f>
        <v>415.47562843725</v>
      </c>
      <c r="F14" s="8" t="s">
        <v>11</v>
      </c>
    </row>
    <row r="15" customFormat="false" ht="15" hidden="false" customHeight="false" outlineLevel="0" collapsed="false">
      <c r="A15" s="5" t="n">
        <v>10</v>
      </c>
      <c r="B15" s="5" t="s">
        <v>30</v>
      </c>
      <c r="C15" s="5" t="s">
        <v>31</v>
      </c>
      <c r="D15" s="6" t="n">
        <v>27.5</v>
      </c>
      <c r="E15" s="7" t="n">
        <f aca="false">PI()/4*D15^2</f>
        <v>593.95736106932</v>
      </c>
      <c r="F15" s="8" t="s">
        <v>11</v>
      </c>
    </row>
    <row r="16" customFormat="false" ht="15" hidden="false" customHeight="false" outlineLevel="0" collapsed="false">
      <c r="A16" s="5" t="n">
        <v>11</v>
      </c>
      <c r="B16" s="5" t="s">
        <v>32</v>
      </c>
      <c r="C16" s="5" t="s">
        <v>33</v>
      </c>
      <c r="D16" s="6" t="n">
        <v>50</v>
      </c>
      <c r="E16" s="7" t="n">
        <f aca="false">PI()/4*D16^2</f>
        <v>1963.49540849362</v>
      </c>
      <c r="F16" s="8" t="s">
        <v>11</v>
      </c>
    </row>
    <row r="17" customFormat="false" ht="15" hidden="false" customHeight="false" outlineLevel="0" collapsed="false">
      <c r="A17" s="5" t="n">
        <v>12</v>
      </c>
      <c r="B17" s="5" t="s">
        <v>34</v>
      </c>
      <c r="C17" s="5" t="s">
        <v>35</v>
      </c>
      <c r="D17" s="6" t="n">
        <v>74</v>
      </c>
      <c r="E17" s="7" t="n">
        <f aca="false">PI()/4*D17^2</f>
        <v>4300.84034276443</v>
      </c>
      <c r="F17" s="8" t="s">
        <v>36</v>
      </c>
    </row>
    <row r="18" customFormat="false" ht="15" hidden="false" customHeight="false" outlineLevel="0" collapsed="false">
      <c r="A18" s="5" t="n">
        <v>13</v>
      </c>
      <c r="B18" s="5" t="s">
        <v>37</v>
      </c>
      <c r="C18" s="5" t="s">
        <v>38</v>
      </c>
      <c r="D18" s="6" t="n">
        <v>8</v>
      </c>
      <c r="E18" s="7" t="n">
        <f aca="false">PI()/4*D18^2</f>
        <v>50.2654824574367</v>
      </c>
      <c r="F18" s="8" t="s">
        <v>39</v>
      </c>
    </row>
    <row r="19" customFormat="false" ht="15" hidden="false" customHeight="false" outlineLevel="0" collapsed="false">
      <c r="A19" s="5" t="n">
        <v>14</v>
      </c>
      <c r="B19" s="5" t="s">
        <v>40</v>
      </c>
      <c r="C19" s="5" t="s">
        <v>41</v>
      </c>
      <c r="D19" s="6" t="n">
        <v>18.5</v>
      </c>
      <c r="E19" s="7" t="n">
        <f aca="false">PI()/4*D19^2</f>
        <v>268.802521422777</v>
      </c>
      <c r="F19" s="8" t="s">
        <v>39</v>
      </c>
    </row>
    <row r="20" customFormat="false" ht="15" hidden="false" customHeight="false" outlineLevel="0" collapsed="false">
      <c r="A20" s="5" t="n">
        <v>15</v>
      </c>
      <c r="B20" s="5" t="s">
        <v>42</v>
      </c>
      <c r="C20" s="5" t="s">
        <v>43</v>
      </c>
      <c r="D20" s="6" t="n">
        <v>19.5</v>
      </c>
      <c r="E20" s="7" t="n">
        <f aca="false">PI()/4*D20^2</f>
        <v>298.64765163188</v>
      </c>
      <c r="F20" s="8" t="s">
        <v>44</v>
      </c>
    </row>
    <row r="21" customFormat="false" ht="15" hidden="false" customHeight="false" outlineLevel="0" collapsed="false">
      <c r="A21" s="5" t="n">
        <v>16</v>
      </c>
      <c r="B21" s="5" t="s">
        <v>45</v>
      </c>
      <c r="C21" s="5" t="s">
        <v>46</v>
      </c>
      <c r="D21" s="6" t="n">
        <v>24.5</v>
      </c>
      <c r="E21" s="7" t="n">
        <f aca="false">PI()/4*D21^2</f>
        <v>471.435247579318</v>
      </c>
      <c r="F21" s="8" t="s">
        <v>47</v>
      </c>
    </row>
    <row r="23" customFormat="false" ht="15" hidden="false" customHeight="false" outlineLevel="0" collapsed="false">
      <c r="A23" s="3" t="s">
        <v>48</v>
      </c>
    </row>
    <row r="24" customFormat="false" ht="15" hidden="false" customHeight="false" outlineLevel="0" collapsed="false">
      <c r="A24" s="3" t="s">
        <v>49</v>
      </c>
    </row>
    <row r="25" customFormat="false" ht="15" hidden="false" customHeight="false" outlineLevel="0" collapsed="false">
      <c r="A25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5" min="4" style="0" width="11"/>
    <col collapsed="false" customWidth="true" hidden="false" outlineLevel="0" max="6" min="6" style="0" width="44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23.85" hidden="false" customHeight="false" outlineLevel="0" collapsed="false">
      <c r="A4" s="4" t="s">
        <v>3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</v>
      </c>
      <c r="J4" s="4" t="s">
        <v>60</v>
      </c>
      <c r="K4" s="4" t="s">
        <v>61</v>
      </c>
    </row>
    <row r="5" customFormat="false" ht="15" hidden="false" customHeight="false" outlineLevel="0" collapsed="false">
      <c r="A5" s="5" t="n">
        <v>1</v>
      </c>
      <c r="B5" s="5" t="s">
        <v>62</v>
      </c>
      <c r="C5" s="5" t="s">
        <v>63</v>
      </c>
      <c r="D5" s="5" t="s">
        <v>64</v>
      </c>
      <c r="E5" s="9" t="n">
        <v>225.32</v>
      </c>
      <c r="F5" s="5" t="s">
        <v>65</v>
      </c>
      <c r="G5" s="5" t="s">
        <v>45</v>
      </c>
      <c r="H5" s="5" t="n">
        <v>16</v>
      </c>
      <c r="I5" s="10" t="n">
        <f aca="false">INDEX(OD_LIST,MATCH(G5,TIPE_KODE,0))</f>
        <v>24.5</v>
      </c>
      <c r="J5" s="7" t="n">
        <f aca="false">I5*H5</f>
        <v>392</v>
      </c>
      <c r="K5" s="7" t="n">
        <f aca="false">PI()/4*I5^2*H5</f>
        <v>7542.96396126909</v>
      </c>
    </row>
    <row r="6" customFormat="false" ht="15" hidden="false" customHeight="false" outlineLevel="0" collapsed="false">
      <c r="A6" s="5" t="n">
        <v>2</v>
      </c>
      <c r="B6" s="5" t="s">
        <v>62</v>
      </c>
      <c r="C6" s="5" t="s">
        <v>66</v>
      </c>
      <c r="D6" s="5" t="s">
        <v>64</v>
      </c>
      <c r="E6" s="5"/>
      <c r="F6" s="5" t="s">
        <v>67</v>
      </c>
      <c r="G6" s="5" t="s">
        <v>45</v>
      </c>
      <c r="H6" s="5" t="n">
        <v>2</v>
      </c>
      <c r="I6" s="10" t="n">
        <f aca="false">INDEX(OD_LIST,MATCH(G6,TIPE_KODE,0))</f>
        <v>24.5</v>
      </c>
      <c r="J6" s="7" t="n">
        <f aca="false">I6*H6</f>
        <v>49</v>
      </c>
      <c r="K6" s="7" t="n">
        <f aca="false">PI()/4*I6^2*H6</f>
        <v>942.870495158637</v>
      </c>
    </row>
    <row r="7" customFormat="false" ht="15" hidden="false" customHeight="false" outlineLevel="0" collapsed="false">
      <c r="A7" s="5" t="n">
        <v>3</v>
      </c>
      <c r="B7" s="5" t="s">
        <v>62</v>
      </c>
      <c r="C7" s="5" t="s">
        <v>68</v>
      </c>
      <c r="D7" s="5" t="s">
        <v>69</v>
      </c>
      <c r="E7" s="9" t="n">
        <v>198.94</v>
      </c>
      <c r="F7" s="5" t="s">
        <v>70</v>
      </c>
      <c r="G7" s="5" t="s">
        <v>32</v>
      </c>
      <c r="H7" s="5" t="n">
        <v>2</v>
      </c>
      <c r="I7" s="10" t="n">
        <f aca="false">INDEX(OD_LIST,MATCH(G7,TIPE_KODE,0))</f>
        <v>50</v>
      </c>
      <c r="J7" s="7" t="n">
        <f aca="false">I7*H7</f>
        <v>100</v>
      </c>
      <c r="K7" s="7" t="n">
        <f aca="false">PI()/4*I7^2*H7</f>
        <v>3926.99081698724</v>
      </c>
    </row>
    <row r="8" customFormat="false" ht="15" hidden="false" customHeight="false" outlineLevel="0" collapsed="false">
      <c r="A8" s="5" t="n">
        <v>4</v>
      </c>
      <c r="B8" s="5" t="s">
        <v>62</v>
      </c>
      <c r="C8" s="5" t="s">
        <v>71</v>
      </c>
      <c r="D8" s="5" t="s">
        <v>69</v>
      </c>
      <c r="E8" s="5"/>
      <c r="F8" s="5" t="s">
        <v>72</v>
      </c>
      <c r="G8" s="5" t="s">
        <v>40</v>
      </c>
      <c r="H8" s="5" t="n">
        <v>1</v>
      </c>
      <c r="I8" s="10" t="n">
        <f aca="false">INDEX(OD_LIST,MATCH(G8,TIPE_KODE,0))</f>
        <v>18.5</v>
      </c>
      <c r="J8" s="7" t="n">
        <f aca="false">I8*H8</f>
        <v>18.5</v>
      </c>
      <c r="K8" s="7" t="n">
        <f aca="false">PI()/4*I8^2*H8</f>
        <v>268.802521422777</v>
      </c>
    </row>
    <row r="9" customFormat="false" ht="15" hidden="false" customHeight="false" outlineLevel="0" collapsed="false">
      <c r="A9" s="5" t="n">
        <v>5</v>
      </c>
      <c r="B9" s="5" t="s">
        <v>62</v>
      </c>
      <c r="C9" s="5" t="s">
        <v>73</v>
      </c>
      <c r="D9" s="5" t="s">
        <v>69</v>
      </c>
      <c r="E9" s="9" t="n">
        <v>26.38</v>
      </c>
      <c r="F9" s="5" t="s">
        <v>74</v>
      </c>
      <c r="G9" s="5" t="s">
        <v>30</v>
      </c>
      <c r="H9" s="5" t="n">
        <v>1</v>
      </c>
      <c r="I9" s="10" t="n">
        <f aca="false">INDEX(OD_LIST,MATCH(G9,TIPE_KODE,0))</f>
        <v>27.5</v>
      </c>
      <c r="J9" s="7" t="n">
        <f aca="false">I9*H9</f>
        <v>27.5</v>
      </c>
      <c r="K9" s="7" t="n">
        <f aca="false">PI()/4*I9^2*H9</f>
        <v>593.95736106932</v>
      </c>
    </row>
    <row r="10" customFormat="false" ht="15" hidden="false" customHeight="false" outlineLevel="0" collapsed="false">
      <c r="A10" s="5" t="n">
        <v>6</v>
      </c>
      <c r="B10" s="5" t="s">
        <v>62</v>
      </c>
      <c r="C10" s="5" t="s">
        <v>75</v>
      </c>
      <c r="D10" s="5" t="s">
        <v>69</v>
      </c>
      <c r="E10" s="5"/>
      <c r="F10" s="5" t="s">
        <v>76</v>
      </c>
      <c r="G10" s="5" t="s">
        <v>37</v>
      </c>
      <c r="H10" s="5" t="n">
        <v>1</v>
      </c>
      <c r="I10" s="10" t="n">
        <f aca="false">INDEX(OD_LIST,MATCH(G10,TIPE_KODE,0))</f>
        <v>8</v>
      </c>
      <c r="J10" s="7" t="n">
        <f aca="false">I10*H10</f>
        <v>8</v>
      </c>
      <c r="K10" s="7" t="n">
        <f aca="false">PI()/4*I10^2*H10</f>
        <v>50.2654824574367</v>
      </c>
    </row>
    <row r="11" customFormat="false" ht="15" hidden="false" customHeight="false" outlineLevel="0" collapsed="false">
      <c r="A11" s="5" t="n">
        <v>7</v>
      </c>
      <c r="B11" s="5" t="s">
        <v>77</v>
      </c>
      <c r="C11" s="5" t="s">
        <v>78</v>
      </c>
      <c r="D11" s="5" t="s">
        <v>64</v>
      </c>
      <c r="E11" s="9" t="n">
        <v>14.9</v>
      </c>
      <c r="F11" s="5" t="s">
        <v>79</v>
      </c>
      <c r="G11" s="5" t="s">
        <v>28</v>
      </c>
      <c r="H11" s="5" t="n">
        <v>1</v>
      </c>
      <c r="I11" s="10" t="n">
        <f aca="false">INDEX(OD_LIST,MATCH(G11,TIPE_KODE,0))</f>
        <v>23</v>
      </c>
      <c r="J11" s="7" t="n">
        <f aca="false">I11*H11</f>
        <v>23</v>
      </c>
      <c r="K11" s="7" t="n">
        <f aca="false">PI()/4*I11^2*H11</f>
        <v>415.47562843725</v>
      </c>
    </row>
    <row r="12" customFormat="false" ht="15" hidden="false" customHeight="false" outlineLevel="0" collapsed="false">
      <c r="A12" s="5" t="n">
        <v>8</v>
      </c>
      <c r="B12" s="5" t="s">
        <v>77</v>
      </c>
      <c r="C12" s="5" t="s">
        <v>80</v>
      </c>
      <c r="D12" s="5" t="s">
        <v>64</v>
      </c>
      <c r="E12" s="5"/>
      <c r="F12" s="5" t="s">
        <v>76</v>
      </c>
      <c r="G12" s="5" t="s">
        <v>37</v>
      </c>
      <c r="H12" s="5" t="n">
        <v>1</v>
      </c>
      <c r="I12" s="10" t="n">
        <f aca="false">INDEX(OD_LIST,MATCH(G12,TIPE_KODE,0))</f>
        <v>8</v>
      </c>
      <c r="J12" s="7" t="n">
        <f aca="false">I12*H12</f>
        <v>8</v>
      </c>
      <c r="K12" s="7" t="n">
        <f aca="false">PI()/4*I12^2*H12</f>
        <v>50.2654824574367</v>
      </c>
    </row>
    <row r="13" customFormat="false" ht="15" hidden="false" customHeight="false" outlineLevel="0" collapsed="false">
      <c r="A13" s="5" t="n">
        <v>9</v>
      </c>
      <c r="B13" s="5" t="s">
        <v>77</v>
      </c>
      <c r="C13" s="5" t="s">
        <v>81</v>
      </c>
      <c r="D13" s="5" t="s">
        <v>82</v>
      </c>
      <c r="E13" s="5"/>
      <c r="F13" s="5" t="s">
        <v>83</v>
      </c>
      <c r="G13" s="5" t="s">
        <v>16</v>
      </c>
      <c r="H13" s="5" t="n">
        <v>1</v>
      </c>
      <c r="I13" s="10" t="n">
        <f aca="false">INDEX(OD_LIST,MATCH(G13,TIPE_KODE,0))</f>
        <v>11</v>
      </c>
      <c r="J13" s="7" t="n">
        <f aca="false">I13*H13</f>
        <v>11</v>
      </c>
      <c r="K13" s="7" t="n">
        <f aca="false">PI()/4*I13^2*H13</f>
        <v>95.0331777710913</v>
      </c>
    </row>
    <row r="14" customFormat="false" ht="15" hidden="false" customHeight="false" outlineLevel="0" collapsed="false">
      <c r="A14" s="5" t="n">
        <v>10</v>
      </c>
      <c r="B14" s="5" t="s">
        <v>77</v>
      </c>
      <c r="C14" s="5" t="s">
        <v>84</v>
      </c>
      <c r="D14" s="5" t="s">
        <v>85</v>
      </c>
      <c r="E14" s="9" t="n">
        <v>1.35</v>
      </c>
      <c r="F14" s="5" t="s">
        <v>86</v>
      </c>
      <c r="G14" s="5" t="s">
        <v>12</v>
      </c>
      <c r="H14" s="5" t="n">
        <v>1</v>
      </c>
      <c r="I14" s="10" t="n">
        <f aca="false">INDEX(OD_LIST,MATCH(G14,TIPE_KODE,0))</f>
        <v>13.5</v>
      </c>
      <c r="J14" s="7" t="n">
        <f aca="false">I14*H14</f>
        <v>13.5</v>
      </c>
      <c r="K14" s="7" t="n">
        <f aca="false">PI()/4*I14^2*H14</f>
        <v>143.138815279185</v>
      </c>
    </row>
    <row r="15" customFormat="false" ht="15" hidden="false" customHeight="false" outlineLevel="0" collapsed="false">
      <c r="A15" s="5" t="n">
        <v>11</v>
      </c>
      <c r="B15" s="5" t="s">
        <v>77</v>
      </c>
      <c r="C15" s="5" t="s">
        <v>87</v>
      </c>
      <c r="D15" s="5" t="s">
        <v>85</v>
      </c>
      <c r="E15" s="9" t="n">
        <v>1.2</v>
      </c>
      <c r="F15" s="5" t="s">
        <v>86</v>
      </c>
      <c r="G15" s="5" t="s">
        <v>12</v>
      </c>
      <c r="H15" s="5" t="n">
        <v>1</v>
      </c>
      <c r="I15" s="10" t="n">
        <f aca="false">INDEX(OD_LIST,MATCH(G15,TIPE_KODE,0))</f>
        <v>13.5</v>
      </c>
      <c r="J15" s="7" t="n">
        <f aca="false">I15*H15</f>
        <v>13.5</v>
      </c>
      <c r="K15" s="7" t="n">
        <f aca="false">PI()/4*I15^2*H15</f>
        <v>143.138815279185</v>
      </c>
    </row>
    <row r="16" customFormat="false" ht="15" hidden="false" customHeight="false" outlineLevel="0" collapsed="false">
      <c r="A16" s="5" t="n">
        <v>12</v>
      </c>
      <c r="B16" s="5" t="s">
        <v>77</v>
      </c>
      <c r="C16" s="5" t="s">
        <v>88</v>
      </c>
      <c r="D16" s="5" t="s">
        <v>85</v>
      </c>
      <c r="E16" s="9" t="n">
        <v>1.5</v>
      </c>
      <c r="F16" s="5" t="s">
        <v>86</v>
      </c>
      <c r="G16" s="5" t="s">
        <v>12</v>
      </c>
      <c r="H16" s="5" t="n">
        <v>1</v>
      </c>
      <c r="I16" s="10" t="n">
        <f aca="false">INDEX(OD_LIST,MATCH(G16,TIPE_KODE,0))</f>
        <v>13.5</v>
      </c>
      <c r="J16" s="7" t="n">
        <f aca="false">I16*H16</f>
        <v>13.5</v>
      </c>
      <c r="K16" s="7" t="n">
        <f aca="false">PI()/4*I16^2*H16</f>
        <v>143.138815279185</v>
      </c>
    </row>
    <row r="17" customFormat="false" ht="15" hidden="false" customHeight="false" outlineLevel="0" collapsed="false">
      <c r="A17" s="5" t="n">
        <v>13</v>
      </c>
      <c r="B17" s="5" t="s">
        <v>77</v>
      </c>
      <c r="C17" s="5" t="s">
        <v>89</v>
      </c>
      <c r="D17" s="5" t="s">
        <v>85</v>
      </c>
      <c r="E17" s="9" t="n">
        <v>1.5</v>
      </c>
      <c r="F17" s="5" t="s">
        <v>86</v>
      </c>
      <c r="G17" s="5" t="s">
        <v>12</v>
      </c>
      <c r="H17" s="5" t="n">
        <v>1</v>
      </c>
      <c r="I17" s="10" t="n">
        <f aca="false">INDEX(OD_LIST,MATCH(G17,TIPE_KODE,0))</f>
        <v>13.5</v>
      </c>
      <c r="J17" s="7" t="n">
        <f aca="false">I17*H17</f>
        <v>13.5</v>
      </c>
      <c r="K17" s="7" t="n">
        <f aca="false">PI()/4*I17^2*H17</f>
        <v>143.138815279185</v>
      </c>
    </row>
    <row r="18" customFormat="false" ht="15" hidden="false" customHeight="false" outlineLevel="0" collapsed="false">
      <c r="A18" s="5" t="n">
        <v>14</v>
      </c>
      <c r="B18" s="5" t="s">
        <v>77</v>
      </c>
      <c r="C18" s="5" t="s">
        <v>90</v>
      </c>
      <c r="D18" s="5" t="s">
        <v>85</v>
      </c>
      <c r="E18" s="9" t="n">
        <v>1.5</v>
      </c>
      <c r="F18" s="5" t="s">
        <v>86</v>
      </c>
      <c r="G18" s="5" t="s">
        <v>12</v>
      </c>
      <c r="H18" s="5" t="n">
        <v>1</v>
      </c>
      <c r="I18" s="10" t="n">
        <f aca="false">INDEX(OD_LIST,MATCH(G18,TIPE_KODE,0))</f>
        <v>13.5</v>
      </c>
      <c r="J18" s="7" t="n">
        <f aca="false">I18*H18</f>
        <v>13.5</v>
      </c>
      <c r="K18" s="7" t="n">
        <f aca="false">PI()/4*I18^2*H18</f>
        <v>143.138815279185</v>
      </c>
    </row>
    <row r="19" customFormat="false" ht="15" hidden="false" customHeight="false" outlineLevel="0" collapsed="false">
      <c r="A19" s="5" t="n">
        <v>15</v>
      </c>
      <c r="B19" s="5" t="s">
        <v>77</v>
      </c>
      <c r="C19" s="5" t="s">
        <v>91</v>
      </c>
      <c r="D19" s="5" t="s">
        <v>85</v>
      </c>
      <c r="E19" s="9" t="n">
        <v>1.5</v>
      </c>
      <c r="F19" s="5" t="s">
        <v>86</v>
      </c>
      <c r="G19" s="5" t="s">
        <v>12</v>
      </c>
      <c r="H19" s="5" t="n">
        <v>1</v>
      </c>
      <c r="I19" s="10" t="n">
        <f aca="false">INDEX(OD_LIST,MATCH(G19,TIPE_KODE,0))</f>
        <v>13.5</v>
      </c>
      <c r="J19" s="7" t="n">
        <f aca="false">I19*H19</f>
        <v>13.5</v>
      </c>
      <c r="K19" s="7" t="n">
        <f aca="false">PI()/4*I19^2*H19</f>
        <v>143.138815279185</v>
      </c>
    </row>
    <row r="20" customFormat="false" ht="15" hidden="false" customHeight="false" outlineLevel="0" collapsed="false">
      <c r="A20" s="5" t="n">
        <v>16</v>
      </c>
      <c r="B20" s="5" t="s">
        <v>77</v>
      </c>
      <c r="C20" s="5" t="s">
        <v>92</v>
      </c>
      <c r="D20" s="5" t="s">
        <v>85</v>
      </c>
      <c r="E20" s="9" t="n">
        <v>1.5</v>
      </c>
      <c r="F20" s="5" t="s">
        <v>86</v>
      </c>
      <c r="G20" s="5" t="s">
        <v>12</v>
      </c>
      <c r="H20" s="5" t="n">
        <v>1</v>
      </c>
      <c r="I20" s="10" t="n">
        <f aca="false">INDEX(OD_LIST,MATCH(G20,TIPE_KODE,0))</f>
        <v>13.5</v>
      </c>
      <c r="J20" s="7" t="n">
        <f aca="false">I20*H20</f>
        <v>13.5</v>
      </c>
      <c r="K20" s="7" t="n">
        <f aca="false">PI()/4*I20^2*H20</f>
        <v>143.138815279185</v>
      </c>
    </row>
    <row r="21" customFormat="false" ht="15" hidden="false" customHeight="false" outlineLevel="0" collapsed="false">
      <c r="A21" s="5" t="n">
        <v>17</v>
      </c>
      <c r="B21" s="5" t="s">
        <v>77</v>
      </c>
      <c r="C21" s="5" t="s">
        <v>93</v>
      </c>
      <c r="D21" s="5" t="s">
        <v>85</v>
      </c>
      <c r="E21" s="9" t="n">
        <v>1.5</v>
      </c>
      <c r="F21" s="5" t="s">
        <v>86</v>
      </c>
      <c r="G21" s="5" t="s">
        <v>12</v>
      </c>
      <c r="H21" s="5" t="n">
        <v>1</v>
      </c>
      <c r="I21" s="10" t="n">
        <f aca="false">INDEX(OD_LIST,MATCH(G21,TIPE_KODE,0))</f>
        <v>13.5</v>
      </c>
      <c r="J21" s="7" t="n">
        <f aca="false">I21*H21</f>
        <v>13.5</v>
      </c>
      <c r="K21" s="7" t="n">
        <f aca="false">PI()/4*I21^2*H21</f>
        <v>143.138815279185</v>
      </c>
    </row>
    <row r="22" customFormat="false" ht="15" hidden="false" customHeight="false" outlineLevel="0" collapsed="false">
      <c r="A22" s="5" t="n">
        <v>18</v>
      </c>
      <c r="B22" s="5" t="s">
        <v>77</v>
      </c>
      <c r="C22" s="5" t="s">
        <v>94</v>
      </c>
      <c r="D22" s="5" t="s">
        <v>85</v>
      </c>
      <c r="E22" s="9" t="n">
        <v>1.5</v>
      </c>
      <c r="F22" s="5" t="s">
        <v>86</v>
      </c>
      <c r="G22" s="5" t="s">
        <v>12</v>
      </c>
      <c r="H22" s="5" t="n">
        <v>1</v>
      </c>
      <c r="I22" s="10" t="n">
        <f aca="false">INDEX(OD_LIST,MATCH(G22,TIPE_KODE,0))</f>
        <v>13.5</v>
      </c>
      <c r="J22" s="7" t="n">
        <f aca="false">I22*H22</f>
        <v>13.5</v>
      </c>
      <c r="K22" s="7" t="n">
        <f aca="false">PI()/4*I22^2*H22</f>
        <v>143.138815279185</v>
      </c>
    </row>
    <row r="23" customFormat="false" ht="15" hidden="false" customHeight="false" outlineLevel="0" collapsed="false">
      <c r="A23" s="5" t="n">
        <v>19</v>
      </c>
      <c r="B23" s="5" t="s">
        <v>77</v>
      </c>
      <c r="C23" s="5" t="s">
        <v>95</v>
      </c>
      <c r="D23" s="5" t="s">
        <v>85</v>
      </c>
      <c r="E23" s="9" t="n">
        <v>1.5</v>
      </c>
      <c r="F23" s="5" t="s">
        <v>86</v>
      </c>
      <c r="G23" s="5" t="s">
        <v>12</v>
      </c>
      <c r="H23" s="5" t="n">
        <v>1</v>
      </c>
      <c r="I23" s="10" t="n">
        <f aca="false">INDEX(OD_LIST,MATCH(G23,TIPE_KODE,0))</f>
        <v>13.5</v>
      </c>
      <c r="J23" s="7" t="n">
        <f aca="false">I23*H23</f>
        <v>13.5</v>
      </c>
      <c r="K23" s="7" t="n">
        <f aca="false">PI()/4*I23^2*H23</f>
        <v>143.138815279185</v>
      </c>
    </row>
    <row r="24" customFormat="false" ht="15" hidden="false" customHeight="false" outlineLevel="0" collapsed="false">
      <c r="A24" s="5" t="n">
        <v>20</v>
      </c>
      <c r="B24" s="5" t="s">
        <v>77</v>
      </c>
      <c r="C24" s="5" t="s">
        <v>96</v>
      </c>
      <c r="D24" s="5" t="s">
        <v>85</v>
      </c>
      <c r="E24" s="9" t="n">
        <v>1.5</v>
      </c>
      <c r="F24" s="5" t="s">
        <v>86</v>
      </c>
      <c r="G24" s="5" t="s">
        <v>12</v>
      </c>
      <c r="H24" s="5" t="n">
        <v>1</v>
      </c>
      <c r="I24" s="10" t="n">
        <f aca="false">INDEX(OD_LIST,MATCH(G24,TIPE_KODE,0))</f>
        <v>13.5</v>
      </c>
      <c r="J24" s="7" t="n">
        <f aca="false">I24*H24</f>
        <v>13.5</v>
      </c>
      <c r="K24" s="7" t="n">
        <f aca="false">PI()/4*I24^2*H24</f>
        <v>143.138815279185</v>
      </c>
    </row>
    <row r="25" customFormat="false" ht="15" hidden="false" customHeight="false" outlineLevel="0" collapsed="false">
      <c r="A25" s="5" t="n">
        <v>21</v>
      </c>
      <c r="B25" s="5" t="s">
        <v>77</v>
      </c>
      <c r="C25" s="5" t="s">
        <v>97</v>
      </c>
      <c r="D25" s="5" t="s">
        <v>85</v>
      </c>
      <c r="E25" s="9" t="n">
        <v>1.5</v>
      </c>
      <c r="F25" s="5" t="s">
        <v>86</v>
      </c>
      <c r="G25" s="5" t="s">
        <v>12</v>
      </c>
      <c r="H25" s="5" t="n">
        <v>1</v>
      </c>
      <c r="I25" s="10" t="n">
        <f aca="false">INDEX(OD_LIST,MATCH(G25,TIPE_KODE,0))</f>
        <v>13.5</v>
      </c>
      <c r="J25" s="7" t="n">
        <f aca="false">I25*H25</f>
        <v>13.5</v>
      </c>
      <c r="K25" s="7" t="n">
        <f aca="false">PI()/4*I25^2*H25</f>
        <v>143.138815279185</v>
      </c>
    </row>
    <row r="26" customFormat="false" ht="15" hidden="false" customHeight="false" outlineLevel="0" collapsed="false">
      <c r="A26" s="5" t="n">
        <v>22</v>
      </c>
      <c r="B26" s="5" t="s">
        <v>77</v>
      </c>
      <c r="C26" s="5" t="s">
        <v>98</v>
      </c>
      <c r="D26" s="5" t="s">
        <v>85</v>
      </c>
      <c r="E26" s="9" t="n">
        <v>1.5</v>
      </c>
      <c r="F26" s="5" t="s">
        <v>86</v>
      </c>
      <c r="G26" s="5" t="s">
        <v>12</v>
      </c>
      <c r="H26" s="5" t="n">
        <v>1</v>
      </c>
      <c r="I26" s="10" t="n">
        <f aca="false">INDEX(OD_LIST,MATCH(G26,TIPE_KODE,0))</f>
        <v>13.5</v>
      </c>
      <c r="J26" s="7" t="n">
        <f aca="false">I26*H26</f>
        <v>13.5</v>
      </c>
      <c r="K26" s="7" t="n">
        <f aca="false">PI()/4*I26^2*H26</f>
        <v>143.138815279185</v>
      </c>
    </row>
    <row r="27" customFormat="false" ht="15" hidden="false" customHeight="false" outlineLevel="0" collapsed="false">
      <c r="A27" s="5" t="n">
        <v>23</v>
      </c>
      <c r="B27" s="5" t="s">
        <v>77</v>
      </c>
      <c r="C27" s="5" t="s">
        <v>99</v>
      </c>
      <c r="D27" s="5" t="s">
        <v>85</v>
      </c>
      <c r="E27" s="9" t="n">
        <v>1.5</v>
      </c>
      <c r="F27" s="5" t="s">
        <v>86</v>
      </c>
      <c r="G27" s="5" t="s">
        <v>12</v>
      </c>
      <c r="H27" s="5" t="n">
        <v>1</v>
      </c>
      <c r="I27" s="10" t="n">
        <f aca="false">INDEX(OD_LIST,MATCH(G27,TIPE_KODE,0))</f>
        <v>13.5</v>
      </c>
      <c r="J27" s="7" t="n">
        <f aca="false">I27*H27</f>
        <v>13.5</v>
      </c>
      <c r="K27" s="7" t="n">
        <f aca="false">PI()/4*I27^2*H27</f>
        <v>143.138815279185</v>
      </c>
    </row>
    <row r="28" customFormat="false" ht="15" hidden="false" customHeight="false" outlineLevel="0" collapsed="false">
      <c r="A28" s="5" t="n">
        <v>24</v>
      </c>
      <c r="B28" s="5" t="s">
        <v>77</v>
      </c>
      <c r="C28" s="5" t="s">
        <v>100</v>
      </c>
      <c r="D28" s="5" t="s">
        <v>85</v>
      </c>
      <c r="E28" s="9" t="n">
        <v>1.5</v>
      </c>
      <c r="F28" s="5" t="s">
        <v>86</v>
      </c>
      <c r="G28" s="5" t="s">
        <v>12</v>
      </c>
      <c r="H28" s="5" t="n">
        <v>1</v>
      </c>
      <c r="I28" s="10" t="n">
        <f aca="false">INDEX(OD_LIST,MATCH(G28,TIPE_KODE,0))</f>
        <v>13.5</v>
      </c>
      <c r="J28" s="7" t="n">
        <f aca="false">I28*H28</f>
        <v>13.5</v>
      </c>
      <c r="K28" s="7" t="n">
        <f aca="false">PI()/4*I28^2*H28</f>
        <v>143.138815279185</v>
      </c>
    </row>
    <row r="29" customFormat="false" ht="15" hidden="false" customHeight="false" outlineLevel="0" collapsed="false">
      <c r="A29" s="5" t="n">
        <v>25</v>
      </c>
      <c r="B29" s="5" t="s">
        <v>77</v>
      </c>
      <c r="C29" s="5" t="s">
        <v>101</v>
      </c>
      <c r="D29" s="5" t="s">
        <v>85</v>
      </c>
      <c r="E29" s="9" t="n">
        <v>1.5</v>
      </c>
      <c r="F29" s="5" t="s">
        <v>86</v>
      </c>
      <c r="G29" s="5" t="s">
        <v>12</v>
      </c>
      <c r="H29" s="5" t="n">
        <v>1</v>
      </c>
      <c r="I29" s="10" t="n">
        <f aca="false">INDEX(OD_LIST,MATCH(G29,TIPE_KODE,0))</f>
        <v>13.5</v>
      </c>
      <c r="J29" s="7" t="n">
        <f aca="false">I29*H29</f>
        <v>13.5</v>
      </c>
      <c r="K29" s="7" t="n">
        <f aca="false">PI()/4*I29^2*H29</f>
        <v>143.138815279185</v>
      </c>
    </row>
    <row r="30" customFormat="false" ht="15" hidden="false" customHeight="false" outlineLevel="0" collapsed="false">
      <c r="A30" s="5" t="n">
        <v>26</v>
      </c>
      <c r="B30" s="5" t="s">
        <v>77</v>
      </c>
      <c r="C30" s="5" t="s">
        <v>102</v>
      </c>
      <c r="D30" s="5" t="s">
        <v>85</v>
      </c>
      <c r="E30" s="9" t="n">
        <v>1.5</v>
      </c>
      <c r="F30" s="5" t="s">
        <v>86</v>
      </c>
      <c r="G30" s="5" t="s">
        <v>12</v>
      </c>
      <c r="H30" s="5" t="n">
        <v>1</v>
      </c>
      <c r="I30" s="10" t="n">
        <f aca="false">INDEX(OD_LIST,MATCH(G30,TIPE_KODE,0))</f>
        <v>13.5</v>
      </c>
      <c r="J30" s="7" t="n">
        <f aca="false">I30*H30</f>
        <v>13.5</v>
      </c>
      <c r="K30" s="7" t="n">
        <f aca="false">PI()/4*I30^2*H30</f>
        <v>143.138815279185</v>
      </c>
    </row>
    <row r="31" customFormat="false" ht="15" hidden="false" customHeight="false" outlineLevel="0" collapsed="false">
      <c r="A31" s="5" t="n">
        <v>27</v>
      </c>
      <c r="B31" s="5" t="s">
        <v>77</v>
      </c>
      <c r="C31" s="5" t="s">
        <v>103</v>
      </c>
      <c r="D31" s="5" t="s">
        <v>85</v>
      </c>
      <c r="E31" s="9" t="n">
        <v>1.5</v>
      </c>
      <c r="F31" s="5" t="s">
        <v>86</v>
      </c>
      <c r="G31" s="5" t="s">
        <v>12</v>
      </c>
      <c r="H31" s="5" t="n">
        <v>1</v>
      </c>
      <c r="I31" s="10" t="n">
        <f aca="false">INDEX(OD_LIST,MATCH(G31,TIPE_KODE,0))</f>
        <v>13.5</v>
      </c>
      <c r="J31" s="7" t="n">
        <f aca="false">I31*H31</f>
        <v>13.5</v>
      </c>
      <c r="K31" s="7" t="n">
        <f aca="false">PI()/4*I31^2*H31</f>
        <v>143.138815279185</v>
      </c>
    </row>
    <row r="32" customFormat="false" ht="15" hidden="false" customHeight="false" outlineLevel="0" collapsed="false">
      <c r="A32" s="5" t="n">
        <v>28</v>
      </c>
      <c r="B32" s="5" t="s">
        <v>77</v>
      </c>
      <c r="C32" s="5" t="s">
        <v>104</v>
      </c>
      <c r="D32" s="5" t="s">
        <v>85</v>
      </c>
      <c r="E32" s="9" t="n">
        <v>1.5</v>
      </c>
      <c r="F32" s="5" t="s">
        <v>86</v>
      </c>
      <c r="G32" s="5" t="s">
        <v>12</v>
      </c>
      <c r="H32" s="5" t="n">
        <v>1</v>
      </c>
      <c r="I32" s="10" t="n">
        <f aca="false">INDEX(OD_LIST,MATCH(G32,TIPE_KODE,0))</f>
        <v>13.5</v>
      </c>
      <c r="J32" s="7" t="n">
        <f aca="false">I32*H32</f>
        <v>13.5</v>
      </c>
      <c r="K32" s="7" t="n">
        <f aca="false">PI()/4*I32^2*H32</f>
        <v>143.138815279185</v>
      </c>
    </row>
    <row r="33" customFormat="false" ht="15" hidden="false" customHeight="false" outlineLevel="0" collapsed="false">
      <c r="A33" s="5" t="n">
        <v>29</v>
      </c>
      <c r="B33" s="5" t="s">
        <v>77</v>
      </c>
      <c r="C33" s="5" t="s">
        <v>105</v>
      </c>
      <c r="D33" s="5" t="s">
        <v>85</v>
      </c>
      <c r="E33" s="9" t="n">
        <v>1.5</v>
      </c>
      <c r="F33" s="5" t="s">
        <v>86</v>
      </c>
      <c r="G33" s="5" t="s">
        <v>12</v>
      </c>
      <c r="H33" s="5" t="n">
        <v>1</v>
      </c>
      <c r="I33" s="10" t="n">
        <f aca="false">INDEX(OD_LIST,MATCH(G33,TIPE_KODE,0))</f>
        <v>13.5</v>
      </c>
      <c r="J33" s="7" t="n">
        <f aca="false">I33*H33</f>
        <v>13.5</v>
      </c>
      <c r="K33" s="7" t="n">
        <f aca="false">PI()/4*I33^2*H33</f>
        <v>143.138815279185</v>
      </c>
    </row>
    <row r="34" customFormat="false" ht="15" hidden="false" customHeight="false" outlineLevel="0" collapsed="false">
      <c r="A34" s="5" t="n">
        <v>30</v>
      </c>
      <c r="B34" s="5" t="s">
        <v>77</v>
      </c>
      <c r="C34" s="5" t="s">
        <v>106</v>
      </c>
      <c r="D34" s="5" t="s">
        <v>85</v>
      </c>
      <c r="E34" s="9" t="n">
        <v>1.5</v>
      </c>
      <c r="F34" s="5" t="s">
        <v>86</v>
      </c>
      <c r="G34" s="5" t="s">
        <v>12</v>
      </c>
      <c r="H34" s="5" t="n">
        <v>1</v>
      </c>
      <c r="I34" s="10" t="n">
        <f aca="false">INDEX(OD_LIST,MATCH(G34,TIPE_KODE,0))</f>
        <v>13.5</v>
      </c>
      <c r="J34" s="7" t="n">
        <f aca="false">I34*H34</f>
        <v>13.5</v>
      </c>
      <c r="K34" s="7" t="n">
        <f aca="false">PI()/4*I34^2*H34</f>
        <v>143.138815279185</v>
      </c>
    </row>
    <row r="35" customFormat="false" ht="15" hidden="false" customHeight="false" outlineLevel="0" collapsed="false">
      <c r="A35" s="5" t="n">
        <v>31</v>
      </c>
      <c r="B35" s="5" t="s">
        <v>77</v>
      </c>
      <c r="C35" s="5" t="s">
        <v>107</v>
      </c>
      <c r="D35" s="5" t="s">
        <v>85</v>
      </c>
      <c r="E35" s="9" t="n">
        <v>1.5</v>
      </c>
      <c r="F35" s="5" t="s">
        <v>86</v>
      </c>
      <c r="G35" s="5" t="s">
        <v>12</v>
      </c>
      <c r="H35" s="5" t="n">
        <v>1</v>
      </c>
      <c r="I35" s="10" t="n">
        <f aca="false">INDEX(OD_LIST,MATCH(G35,TIPE_KODE,0))</f>
        <v>13.5</v>
      </c>
      <c r="J35" s="7" t="n">
        <f aca="false">I35*H35</f>
        <v>13.5</v>
      </c>
      <c r="K35" s="7" t="n">
        <f aca="false">PI()/4*I35^2*H35</f>
        <v>143.138815279185</v>
      </c>
    </row>
    <row r="36" customFormat="false" ht="15" hidden="false" customHeight="false" outlineLevel="0" collapsed="false">
      <c r="A36" s="5" t="n">
        <v>32</v>
      </c>
      <c r="B36" s="5" t="s">
        <v>77</v>
      </c>
      <c r="C36" s="5" t="s">
        <v>108</v>
      </c>
      <c r="D36" s="5" t="s">
        <v>85</v>
      </c>
      <c r="E36" s="9" t="n">
        <v>0.75</v>
      </c>
      <c r="F36" s="5" t="s">
        <v>86</v>
      </c>
      <c r="G36" s="5" t="s">
        <v>12</v>
      </c>
      <c r="H36" s="5" t="n">
        <v>1</v>
      </c>
      <c r="I36" s="10" t="n">
        <f aca="false">INDEX(OD_LIST,MATCH(G36,TIPE_KODE,0))</f>
        <v>13.5</v>
      </c>
      <c r="J36" s="7" t="n">
        <f aca="false">I36*H36</f>
        <v>13.5</v>
      </c>
      <c r="K36" s="7" t="n">
        <f aca="false">PI()/4*I36^2*H36</f>
        <v>143.138815279185</v>
      </c>
    </row>
    <row r="37" customFormat="false" ht="15" hidden="false" customHeight="false" outlineLevel="0" collapsed="false">
      <c r="A37" s="5" t="n">
        <v>33</v>
      </c>
      <c r="B37" s="5" t="s">
        <v>77</v>
      </c>
      <c r="C37" s="5" t="s">
        <v>109</v>
      </c>
      <c r="D37" s="5" t="s">
        <v>85</v>
      </c>
      <c r="E37" s="9" t="n">
        <v>1.5</v>
      </c>
      <c r="F37" s="5" t="s">
        <v>86</v>
      </c>
      <c r="G37" s="5" t="s">
        <v>12</v>
      </c>
      <c r="H37" s="5" t="n">
        <v>1</v>
      </c>
      <c r="I37" s="10" t="n">
        <f aca="false">INDEX(OD_LIST,MATCH(G37,TIPE_KODE,0))</f>
        <v>13.5</v>
      </c>
      <c r="J37" s="7" t="n">
        <f aca="false">I37*H37</f>
        <v>13.5</v>
      </c>
      <c r="K37" s="7" t="n">
        <f aca="false">PI()/4*I37^2*H37</f>
        <v>143.138815279185</v>
      </c>
    </row>
    <row r="38" customFormat="false" ht="15" hidden="false" customHeight="false" outlineLevel="0" collapsed="false">
      <c r="A38" s="5" t="n">
        <v>34</v>
      </c>
      <c r="B38" s="5" t="s">
        <v>77</v>
      </c>
      <c r="C38" s="5" t="s">
        <v>110</v>
      </c>
      <c r="D38" s="5" t="s">
        <v>85</v>
      </c>
      <c r="E38" s="9" t="n">
        <v>1.5</v>
      </c>
      <c r="F38" s="5" t="s">
        <v>86</v>
      </c>
      <c r="G38" s="5" t="s">
        <v>12</v>
      </c>
      <c r="H38" s="5" t="n">
        <v>1</v>
      </c>
      <c r="I38" s="10" t="n">
        <f aca="false">INDEX(OD_LIST,MATCH(G38,TIPE_KODE,0))</f>
        <v>13.5</v>
      </c>
      <c r="J38" s="7" t="n">
        <f aca="false">I38*H38</f>
        <v>13.5</v>
      </c>
      <c r="K38" s="7" t="n">
        <f aca="false">PI()/4*I38^2*H38</f>
        <v>143.138815279185</v>
      </c>
    </row>
    <row r="39" customFormat="false" ht="15" hidden="false" customHeight="false" outlineLevel="0" collapsed="false">
      <c r="A39" s="5" t="n">
        <v>35</v>
      </c>
      <c r="B39" s="5" t="s">
        <v>77</v>
      </c>
      <c r="C39" s="5" t="s">
        <v>111</v>
      </c>
      <c r="D39" s="5" t="s">
        <v>85</v>
      </c>
      <c r="E39" s="9" t="n">
        <v>0.324</v>
      </c>
      <c r="F39" s="5" t="s">
        <v>86</v>
      </c>
      <c r="G39" s="5" t="s">
        <v>12</v>
      </c>
      <c r="H39" s="5" t="n">
        <v>1</v>
      </c>
      <c r="I39" s="10" t="n">
        <f aca="false">INDEX(OD_LIST,MATCH(G39,TIPE_KODE,0))</f>
        <v>13.5</v>
      </c>
      <c r="J39" s="7" t="n">
        <f aca="false">I39*H39</f>
        <v>13.5</v>
      </c>
      <c r="K39" s="7" t="n">
        <f aca="false">PI()/4*I39^2*H39</f>
        <v>143.138815279185</v>
      </c>
    </row>
    <row r="40" customFormat="false" ht="15" hidden="false" customHeight="false" outlineLevel="0" collapsed="false">
      <c r="A40" s="5" t="n">
        <v>36</v>
      </c>
      <c r="B40" s="5" t="s">
        <v>77</v>
      </c>
      <c r="C40" s="5" t="s">
        <v>112</v>
      </c>
      <c r="D40" s="5" t="s">
        <v>85</v>
      </c>
      <c r="E40" s="9" t="n">
        <v>0.96</v>
      </c>
      <c r="F40" s="5" t="s">
        <v>86</v>
      </c>
      <c r="G40" s="5" t="s">
        <v>12</v>
      </c>
      <c r="H40" s="5" t="n">
        <v>1</v>
      </c>
      <c r="I40" s="10" t="n">
        <f aca="false">INDEX(OD_LIST,MATCH(G40,TIPE_KODE,0))</f>
        <v>13.5</v>
      </c>
      <c r="J40" s="7" t="n">
        <f aca="false">I40*H40</f>
        <v>13.5</v>
      </c>
      <c r="K40" s="7" t="n">
        <f aca="false">PI()/4*I40^2*H40</f>
        <v>143.138815279185</v>
      </c>
    </row>
    <row r="41" customFormat="false" ht="15" hidden="false" customHeight="false" outlineLevel="0" collapsed="false">
      <c r="A41" s="5" t="n">
        <v>37</v>
      </c>
      <c r="B41" s="5" t="s">
        <v>77</v>
      </c>
      <c r="C41" s="5" t="s">
        <v>113</v>
      </c>
      <c r="D41" s="5" t="s">
        <v>85</v>
      </c>
      <c r="E41" s="9" t="n">
        <v>0.512</v>
      </c>
      <c r="F41" s="5" t="s">
        <v>86</v>
      </c>
      <c r="G41" s="5" t="s">
        <v>12</v>
      </c>
      <c r="H41" s="5" t="n">
        <v>1</v>
      </c>
      <c r="I41" s="10" t="n">
        <f aca="false">INDEX(OD_LIST,MATCH(G41,TIPE_KODE,0))</f>
        <v>13.5</v>
      </c>
      <c r="J41" s="7" t="n">
        <f aca="false">I41*H41</f>
        <v>13.5</v>
      </c>
      <c r="K41" s="7" t="n">
        <f aca="false">PI()/4*I41^2*H41</f>
        <v>143.138815279185</v>
      </c>
    </row>
    <row r="42" customFormat="false" ht="15" hidden="false" customHeight="false" outlineLevel="0" collapsed="false">
      <c r="A42" s="5" t="n">
        <v>38</v>
      </c>
      <c r="B42" s="5" t="s">
        <v>77</v>
      </c>
      <c r="C42" s="5" t="s">
        <v>114</v>
      </c>
      <c r="D42" s="5" t="s">
        <v>85</v>
      </c>
      <c r="E42" s="9" t="n">
        <v>0.72</v>
      </c>
      <c r="F42" s="5" t="s">
        <v>86</v>
      </c>
      <c r="G42" s="5" t="s">
        <v>12</v>
      </c>
      <c r="H42" s="5" t="n">
        <v>1</v>
      </c>
      <c r="I42" s="10" t="n">
        <f aca="false">INDEX(OD_LIST,MATCH(G42,TIPE_KODE,0))</f>
        <v>13.5</v>
      </c>
      <c r="J42" s="7" t="n">
        <f aca="false">I42*H42</f>
        <v>13.5</v>
      </c>
      <c r="K42" s="7" t="n">
        <f aca="false">PI()/4*I42^2*H42</f>
        <v>143.138815279185</v>
      </c>
    </row>
    <row r="43" customFormat="false" ht="15" hidden="false" customHeight="false" outlineLevel="0" collapsed="false">
      <c r="A43" s="5" t="n">
        <v>39</v>
      </c>
      <c r="B43" s="5" t="s">
        <v>77</v>
      </c>
      <c r="C43" s="5" t="s">
        <v>115</v>
      </c>
      <c r="D43" s="5" t="s">
        <v>85</v>
      </c>
      <c r="E43" s="9" t="n">
        <v>0.144</v>
      </c>
      <c r="F43" s="5" t="s">
        <v>86</v>
      </c>
      <c r="G43" s="5" t="s">
        <v>12</v>
      </c>
      <c r="H43" s="5" t="n">
        <v>1</v>
      </c>
      <c r="I43" s="10" t="n">
        <f aca="false">INDEX(OD_LIST,MATCH(G43,TIPE_KODE,0))</f>
        <v>13.5</v>
      </c>
      <c r="J43" s="7" t="n">
        <f aca="false">I43*H43</f>
        <v>13.5</v>
      </c>
      <c r="K43" s="7" t="n">
        <f aca="false">PI()/4*I43^2*H43</f>
        <v>143.138815279185</v>
      </c>
    </row>
    <row r="44" customFormat="false" ht="15" hidden="false" customHeight="false" outlineLevel="0" collapsed="false">
      <c r="A44" s="5" t="n">
        <v>40</v>
      </c>
      <c r="B44" s="5" t="s">
        <v>77</v>
      </c>
      <c r="C44" s="5" t="s">
        <v>116</v>
      </c>
      <c r="D44" s="5" t="s">
        <v>85</v>
      </c>
      <c r="E44" s="9" t="n">
        <v>0.512</v>
      </c>
      <c r="F44" s="5" t="s">
        <v>86</v>
      </c>
      <c r="G44" s="5" t="s">
        <v>12</v>
      </c>
      <c r="H44" s="5" t="n">
        <v>1</v>
      </c>
      <c r="I44" s="10" t="n">
        <f aca="false">INDEX(OD_LIST,MATCH(G44,TIPE_KODE,0))</f>
        <v>13.5</v>
      </c>
      <c r="J44" s="7" t="n">
        <f aca="false">I44*H44</f>
        <v>13.5</v>
      </c>
      <c r="K44" s="7" t="n">
        <f aca="false">PI()/4*I44^2*H44</f>
        <v>143.138815279185</v>
      </c>
    </row>
    <row r="45" customFormat="false" ht="15" hidden="false" customHeight="false" outlineLevel="0" collapsed="false">
      <c r="A45" s="5" t="n">
        <v>41</v>
      </c>
      <c r="B45" s="5" t="s">
        <v>77</v>
      </c>
      <c r="C45" s="5" t="s">
        <v>117</v>
      </c>
      <c r="D45" s="5" t="s">
        <v>85</v>
      </c>
      <c r="E45" s="9" t="n">
        <v>0.64</v>
      </c>
      <c r="F45" s="5" t="s">
        <v>86</v>
      </c>
      <c r="G45" s="5" t="s">
        <v>12</v>
      </c>
      <c r="H45" s="5" t="n">
        <v>1</v>
      </c>
      <c r="I45" s="10" t="n">
        <f aca="false">INDEX(OD_LIST,MATCH(G45,TIPE_KODE,0))</f>
        <v>13.5</v>
      </c>
      <c r="J45" s="7" t="n">
        <f aca="false">I45*H45</f>
        <v>13.5</v>
      </c>
      <c r="K45" s="7" t="n">
        <f aca="false">PI()/4*I45^2*H45</f>
        <v>143.138815279185</v>
      </c>
    </row>
    <row r="46" customFormat="false" ht="15" hidden="false" customHeight="false" outlineLevel="0" collapsed="false">
      <c r="A46" s="5" t="n">
        <v>42</v>
      </c>
      <c r="B46" s="5" t="s">
        <v>77</v>
      </c>
      <c r="C46" s="5" t="s">
        <v>118</v>
      </c>
      <c r="D46" s="5" t="s">
        <v>85</v>
      </c>
      <c r="E46" s="9" t="n">
        <v>0.09</v>
      </c>
      <c r="F46" s="5" t="s">
        <v>119</v>
      </c>
      <c r="G46" s="5" t="s">
        <v>9</v>
      </c>
      <c r="H46" s="5" t="n">
        <v>1</v>
      </c>
      <c r="I46" s="10" t="n">
        <f aca="false">INDEX(OD_LIST,MATCH(G46,TIPE_KODE,0))</f>
        <v>12</v>
      </c>
      <c r="J46" s="7" t="n">
        <f aca="false">I46*H46</f>
        <v>12</v>
      </c>
      <c r="K46" s="7" t="n">
        <f aca="false">PI()/4*I46^2*H46</f>
        <v>113.097335529233</v>
      </c>
    </row>
    <row r="47" customFormat="false" ht="15" hidden="false" customHeight="false" outlineLevel="0" collapsed="false">
      <c r="A47" s="5" t="n">
        <v>43</v>
      </c>
      <c r="B47" s="5" t="s">
        <v>77</v>
      </c>
      <c r="C47" s="5" t="s">
        <v>120</v>
      </c>
      <c r="D47" s="5" t="s">
        <v>85</v>
      </c>
      <c r="E47" s="9" t="n">
        <v>0.07</v>
      </c>
      <c r="F47" s="5" t="s">
        <v>119</v>
      </c>
      <c r="G47" s="5" t="s">
        <v>9</v>
      </c>
      <c r="H47" s="5" t="n">
        <v>1</v>
      </c>
      <c r="I47" s="10" t="n">
        <f aca="false">INDEX(OD_LIST,MATCH(G47,TIPE_KODE,0))</f>
        <v>12</v>
      </c>
      <c r="J47" s="7" t="n">
        <f aca="false">I47*H47</f>
        <v>12</v>
      </c>
      <c r="K47" s="7" t="n">
        <f aca="false">PI()/4*I47^2*H47</f>
        <v>113.097335529233</v>
      </c>
    </row>
    <row r="48" customFormat="false" ht="15" hidden="false" customHeight="false" outlineLevel="0" collapsed="false">
      <c r="A48" s="5" t="n">
        <v>44</v>
      </c>
      <c r="B48" s="5" t="s">
        <v>77</v>
      </c>
      <c r="C48" s="5" t="s">
        <v>121</v>
      </c>
      <c r="D48" s="5" t="s">
        <v>85</v>
      </c>
      <c r="E48" s="9" t="n">
        <v>0.084</v>
      </c>
      <c r="F48" s="5" t="s">
        <v>119</v>
      </c>
      <c r="G48" s="5" t="s">
        <v>9</v>
      </c>
      <c r="H48" s="5" t="n">
        <v>1</v>
      </c>
      <c r="I48" s="10" t="n">
        <f aca="false">INDEX(OD_LIST,MATCH(G48,TIPE_KODE,0))</f>
        <v>12</v>
      </c>
      <c r="J48" s="7" t="n">
        <f aca="false">I48*H48</f>
        <v>12</v>
      </c>
      <c r="K48" s="7" t="n">
        <f aca="false">PI()/4*I48^2*H48</f>
        <v>113.097335529233</v>
      </c>
    </row>
    <row r="49" customFormat="false" ht="15" hidden="false" customHeight="false" outlineLevel="0" collapsed="false">
      <c r="A49" s="5" t="n">
        <v>45</v>
      </c>
      <c r="B49" s="5" t="s">
        <v>77</v>
      </c>
      <c r="C49" s="5" t="s">
        <v>122</v>
      </c>
      <c r="D49" s="5" t="s">
        <v>85</v>
      </c>
      <c r="E49" s="9" t="n">
        <v>0.108</v>
      </c>
      <c r="F49" s="5" t="s">
        <v>119</v>
      </c>
      <c r="G49" s="5" t="s">
        <v>9</v>
      </c>
      <c r="H49" s="5" t="n">
        <v>1</v>
      </c>
      <c r="I49" s="10" t="n">
        <f aca="false">INDEX(OD_LIST,MATCH(G49,TIPE_KODE,0))</f>
        <v>12</v>
      </c>
      <c r="J49" s="7" t="n">
        <f aca="false">I49*H49</f>
        <v>12</v>
      </c>
      <c r="K49" s="7" t="n">
        <f aca="false">PI()/4*I49^2*H49</f>
        <v>113.097335529233</v>
      </c>
    </row>
    <row r="50" customFormat="false" ht="15" hidden="false" customHeight="false" outlineLevel="0" collapsed="false">
      <c r="A50" s="5" t="n">
        <v>46</v>
      </c>
      <c r="B50" s="5" t="s">
        <v>77</v>
      </c>
      <c r="C50" s="5" t="s">
        <v>123</v>
      </c>
      <c r="D50" s="5" t="s">
        <v>85</v>
      </c>
      <c r="E50" s="9" t="n">
        <v>0.05</v>
      </c>
      <c r="F50" s="5" t="s">
        <v>119</v>
      </c>
      <c r="G50" s="5" t="s">
        <v>9</v>
      </c>
      <c r="H50" s="5" t="n">
        <v>1</v>
      </c>
      <c r="I50" s="10" t="n">
        <f aca="false">INDEX(OD_LIST,MATCH(G50,TIPE_KODE,0))</f>
        <v>12</v>
      </c>
      <c r="J50" s="7" t="n">
        <f aca="false">I50*H50</f>
        <v>12</v>
      </c>
      <c r="K50" s="7" t="n">
        <f aca="false">PI()/4*I50^2*H50</f>
        <v>113.097335529233</v>
      </c>
    </row>
    <row r="51" customFormat="false" ht="15" hidden="false" customHeight="false" outlineLevel="0" collapsed="false">
      <c r="A51" s="5" t="n">
        <v>47</v>
      </c>
      <c r="B51" s="5" t="s">
        <v>77</v>
      </c>
      <c r="C51" s="5" t="s">
        <v>124</v>
      </c>
      <c r="D51" s="5" t="s">
        <v>85</v>
      </c>
      <c r="E51" s="9" t="n">
        <v>0.084</v>
      </c>
      <c r="F51" s="5" t="s">
        <v>119</v>
      </c>
      <c r="G51" s="5" t="s">
        <v>9</v>
      </c>
      <c r="H51" s="5" t="n">
        <v>1</v>
      </c>
      <c r="I51" s="10" t="n">
        <f aca="false">INDEX(OD_LIST,MATCH(G51,TIPE_KODE,0))</f>
        <v>12</v>
      </c>
      <c r="J51" s="7" t="n">
        <f aca="false">I51*H51</f>
        <v>12</v>
      </c>
      <c r="K51" s="7" t="n">
        <f aca="false">PI()/4*I51^2*H51</f>
        <v>113.097335529233</v>
      </c>
    </row>
    <row r="52" customFormat="false" ht="15" hidden="false" customHeight="false" outlineLevel="0" collapsed="false">
      <c r="A52" s="5" t="n">
        <v>48</v>
      </c>
      <c r="B52" s="5" t="s">
        <v>77</v>
      </c>
      <c r="C52" s="5" t="s">
        <v>125</v>
      </c>
      <c r="D52" s="5" t="s">
        <v>85</v>
      </c>
      <c r="E52" s="9" t="n">
        <v>0.084</v>
      </c>
      <c r="F52" s="5" t="s">
        <v>119</v>
      </c>
      <c r="G52" s="5" t="s">
        <v>9</v>
      </c>
      <c r="H52" s="5" t="n">
        <v>1</v>
      </c>
      <c r="I52" s="10" t="n">
        <f aca="false">INDEX(OD_LIST,MATCH(G52,TIPE_KODE,0))</f>
        <v>12</v>
      </c>
      <c r="J52" s="7" t="n">
        <f aca="false">I52*H52</f>
        <v>12</v>
      </c>
      <c r="K52" s="7" t="n">
        <f aca="false">PI()/4*I52^2*H52</f>
        <v>113.097335529233</v>
      </c>
    </row>
    <row r="53" customFormat="false" ht="15" hidden="false" customHeight="false" outlineLevel="0" collapsed="false">
      <c r="A53" s="5" t="n">
        <v>49</v>
      </c>
      <c r="B53" s="5" t="s">
        <v>77</v>
      </c>
      <c r="C53" s="5" t="s">
        <v>126</v>
      </c>
      <c r="D53" s="5" t="s">
        <v>85</v>
      </c>
      <c r="E53" s="9" t="n">
        <v>0.33</v>
      </c>
      <c r="F53" s="5" t="s">
        <v>86</v>
      </c>
      <c r="G53" s="5" t="s">
        <v>12</v>
      </c>
      <c r="H53" s="5" t="n">
        <v>1</v>
      </c>
      <c r="I53" s="10" t="n">
        <f aca="false">INDEX(OD_LIST,MATCH(G53,TIPE_KODE,0))</f>
        <v>13.5</v>
      </c>
      <c r="J53" s="7" t="n">
        <f aca="false">I53*H53</f>
        <v>13.5</v>
      </c>
      <c r="K53" s="7" t="n">
        <f aca="false">PI()/4*I53^2*H53</f>
        <v>143.138815279185</v>
      </c>
    </row>
    <row r="54" customFormat="false" ht="15" hidden="false" customHeight="false" outlineLevel="0" collapsed="false">
      <c r="A54" s="5" t="n">
        <v>50</v>
      </c>
      <c r="B54" s="5" t="s">
        <v>77</v>
      </c>
      <c r="C54" s="5" t="s">
        <v>127</v>
      </c>
      <c r="D54" s="5" t="s">
        <v>85</v>
      </c>
      <c r="E54" s="9" t="n">
        <v>1</v>
      </c>
      <c r="F54" s="5" t="s">
        <v>86</v>
      </c>
      <c r="G54" s="5" t="s">
        <v>12</v>
      </c>
      <c r="H54" s="5" t="n">
        <v>1</v>
      </c>
      <c r="I54" s="10" t="n">
        <f aca="false">INDEX(OD_LIST,MATCH(G54,TIPE_KODE,0))</f>
        <v>13.5</v>
      </c>
      <c r="J54" s="7" t="n">
        <f aca="false">I54*H54</f>
        <v>13.5</v>
      </c>
      <c r="K54" s="7" t="n">
        <f aca="false">PI()/4*I54^2*H54</f>
        <v>143.138815279185</v>
      </c>
    </row>
    <row r="55" customFormat="false" ht="15" hidden="false" customHeight="false" outlineLevel="0" collapsed="false">
      <c r="A55" s="5" t="n">
        <v>51</v>
      </c>
      <c r="B55" s="5" t="s">
        <v>77</v>
      </c>
      <c r="C55" s="5" t="s">
        <v>128</v>
      </c>
      <c r="D55" s="5" t="s">
        <v>85</v>
      </c>
      <c r="E55" s="9" t="n">
        <v>0.8</v>
      </c>
      <c r="F55" s="5" t="s">
        <v>86</v>
      </c>
      <c r="G55" s="5" t="s">
        <v>12</v>
      </c>
      <c r="H55" s="5" t="n">
        <v>1</v>
      </c>
      <c r="I55" s="10" t="n">
        <f aca="false">INDEX(OD_LIST,MATCH(G55,TIPE_KODE,0))</f>
        <v>13.5</v>
      </c>
      <c r="J55" s="7" t="n">
        <f aca="false">I55*H55</f>
        <v>13.5</v>
      </c>
      <c r="K55" s="7" t="n">
        <f aca="false">PI()/4*I55^2*H55</f>
        <v>143.138815279185</v>
      </c>
    </row>
    <row r="56" customFormat="false" ht="15" hidden="false" customHeight="false" outlineLevel="0" collapsed="false">
      <c r="A56" s="5" t="n">
        <v>52</v>
      </c>
      <c r="B56" s="5" t="s">
        <v>77</v>
      </c>
      <c r="C56" s="5" t="s">
        <v>129</v>
      </c>
      <c r="D56" s="5" t="s">
        <v>85</v>
      </c>
      <c r="E56" s="9" t="n">
        <v>9</v>
      </c>
      <c r="F56" s="5" t="s">
        <v>130</v>
      </c>
      <c r="G56" s="5" t="s">
        <v>19</v>
      </c>
      <c r="H56" s="5" t="n">
        <v>1</v>
      </c>
      <c r="I56" s="10" t="n">
        <f aca="false">INDEX(OD_LIST,MATCH(G56,TIPE_KODE,0))</f>
        <v>16</v>
      </c>
      <c r="J56" s="7" t="n">
        <f aca="false">I56*H56</f>
        <v>16</v>
      </c>
      <c r="K56" s="7" t="n">
        <f aca="false">PI()/4*I56^2*H56</f>
        <v>201.061929829747</v>
      </c>
    </row>
    <row r="57" customFormat="false" ht="15" hidden="false" customHeight="false" outlineLevel="0" collapsed="false">
      <c r="A57" s="5" t="n">
        <v>53</v>
      </c>
      <c r="B57" s="5" t="s">
        <v>77</v>
      </c>
      <c r="C57" s="5" t="s">
        <v>131</v>
      </c>
      <c r="D57" s="5" t="s">
        <v>85</v>
      </c>
      <c r="E57" s="9" t="n">
        <v>0.8</v>
      </c>
      <c r="F57" s="5" t="s">
        <v>86</v>
      </c>
      <c r="G57" s="5" t="s">
        <v>12</v>
      </c>
      <c r="H57" s="5" t="n">
        <v>1</v>
      </c>
      <c r="I57" s="10" t="n">
        <f aca="false">INDEX(OD_LIST,MATCH(G57,TIPE_KODE,0))</f>
        <v>13.5</v>
      </c>
      <c r="J57" s="7" t="n">
        <f aca="false">I57*H57</f>
        <v>13.5</v>
      </c>
      <c r="K57" s="7" t="n">
        <f aca="false">PI()/4*I57^2*H57</f>
        <v>143.138815279185</v>
      </c>
    </row>
    <row r="58" customFormat="false" ht="15" hidden="false" customHeight="false" outlineLevel="0" collapsed="false">
      <c r="A58" s="5" t="n">
        <v>54</v>
      </c>
      <c r="B58" s="5" t="s">
        <v>77</v>
      </c>
      <c r="C58" s="5" t="s">
        <v>132</v>
      </c>
      <c r="D58" s="5" t="s">
        <v>85</v>
      </c>
      <c r="E58" s="9" t="n">
        <v>9</v>
      </c>
      <c r="F58" s="5" t="s">
        <v>130</v>
      </c>
      <c r="G58" s="5" t="s">
        <v>19</v>
      </c>
      <c r="H58" s="5" t="n">
        <v>1</v>
      </c>
      <c r="I58" s="10" t="n">
        <f aca="false">INDEX(OD_LIST,MATCH(G58,TIPE_KODE,0))</f>
        <v>16</v>
      </c>
      <c r="J58" s="7" t="n">
        <f aca="false">I58*H58</f>
        <v>16</v>
      </c>
      <c r="K58" s="7" t="n">
        <f aca="false">PI()/4*I58^2*H58</f>
        <v>201.061929829747</v>
      </c>
    </row>
    <row r="59" customFormat="false" ht="15" hidden="false" customHeight="false" outlineLevel="0" collapsed="false">
      <c r="A59" s="5" t="n">
        <v>55</v>
      </c>
      <c r="B59" s="5" t="s">
        <v>77</v>
      </c>
      <c r="C59" s="5" t="s">
        <v>133</v>
      </c>
      <c r="D59" s="5" t="s">
        <v>85</v>
      </c>
      <c r="E59" s="9" t="n">
        <v>3</v>
      </c>
      <c r="F59" s="5" t="s">
        <v>130</v>
      </c>
      <c r="G59" s="5" t="s">
        <v>19</v>
      </c>
      <c r="H59" s="5" t="n">
        <v>1</v>
      </c>
      <c r="I59" s="10" t="n">
        <f aca="false">INDEX(OD_LIST,MATCH(G59,TIPE_KODE,0))</f>
        <v>16</v>
      </c>
      <c r="J59" s="7" t="n">
        <f aca="false">I59*H59</f>
        <v>16</v>
      </c>
      <c r="K59" s="7" t="n">
        <f aca="false">PI()/4*I59^2*H59</f>
        <v>201.061929829747</v>
      </c>
    </row>
    <row r="60" customFormat="false" ht="15" hidden="false" customHeight="false" outlineLevel="0" collapsed="false">
      <c r="A60" s="5" t="n">
        <v>56</v>
      </c>
      <c r="B60" s="5" t="s">
        <v>77</v>
      </c>
      <c r="C60" s="5" t="s">
        <v>134</v>
      </c>
      <c r="D60" s="5" t="s">
        <v>85</v>
      </c>
      <c r="E60" s="9" t="n">
        <v>3</v>
      </c>
      <c r="F60" s="5" t="s">
        <v>130</v>
      </c>
      <c r="G60" s="5" t="s">
        <v>19</v>
      </c>
      <c r="H60" s="5" t="n">
        <v>1</v>
      </c>
      <c r="I60" s="10" t="n">
        <f aca="false">INDEX(OD_LIST,MATCH(G60,TIPE_KODE,0))</f>
        <v>16</v>
      </c>
      <c r="J60" s="7" t="n">
        <f aca="false">I60*H60</f>
        <v>16</v>
      </c>
      <c r="K60" s="7" t="n">
        <f aca="false">PI()/4*I60^2*H60</f>
        <v>201.061929829747</v>
      </c>
    </row>
    <row r="61" customFormat="false" ht="15" hidden="false" customHeight="false" outlineLevel="0" collapsed="false">
      <c r="A61" s="5" t="n">
        <v>57</v>
      </c>
      <c r="B61" s="5" t="s">
        <v>77</v>
      </c>
      <c r="C61" s="5" t="s">
        <v>135</v>
      </c>
      <c r="D61" s="5" t="s">
        <v>85</v>
      </c>
      <c r="E61" s="9" t="n">
        <v>3</v>
      </c>
      <c r="F61" s="5" t="s">
        <v>130</v>
      </c>
      <c r="G61" s="5" t="s">
        <v>19</v>
      </c>
      <c r="H61" s="5" t="n">
        <v>1</v>
      </c>
      <c r="I61" s="10" t="n">
        <f aca="false">INDEX(OD_LIST,MATCH(G61,TIPE_KODE,0))</f>
        <v>16</v>
      </c>
      <c r="J61" s="7" t="n">
        <f aca="false">I61*H61</f>
        <v>16</v>
      </c>
      <c r="K61" s="7" t="n">
        <f aca="false">PI()/4*I61^2*H61</f>
        <v>201.061929829747</v>
      </c>
    </row>
    <row r="62" customFormat="false" ht="15" hidden="false" customHeight="false" outlineLevel="0" collapsed="false">
      <c r="A62" s="5" t="n">
        <v>58</v>
      </c>
      <c r="B62" s="5" t="s">
        <v>77</v>
      </c>
      <c r="C62" s="5" t="s">
        <v>136</v>
      </c>
      <c r="D62" s="5" t="s">
        <v>85</v>
      </c>
      <c r="E62" s="9" t="n">
        <v>3</v>
      </c>
      <c r="F62" s="5" t="s">
        <v>130</v>
      </c>
      <c r="G62" s="5" t="s">
        <v>19</v>
      </c>
      <c r="H62" s="5" t="n">
        <v>1</v>
      </c>
      <c r="I62" s="10" t="n">
        <f aca="false">INDEX(OD_LIST,MATCH(G62,TIPE_KODE,0))</f>
        <v>16</v>
      </c>
      <c r="J62" s="7" t="n">
        <f aca="false">I62*H62</f>
        <v>16</v>
      </c>
      <c r="K62" s="7" t="n">
        <f aca="false">PI()/4*I62^2*H62</f>
        <v>201.061929829747</v>
      </c>
    </row>
    <row r="63" customFormat="false" ht="15" hidden="false" customHeight="false" outlineLevel="0" collapsed="false">
      <c r="A63" s="5" t="n">
        <v>59</v>
      </c>
      <c r="B63" s="5" t="s">
        <v>77</v>
      </c>
      <c r="C63" s="5" t="s">
        <v>137</v>
      </c>
      <c r="D63" s="5" t="s">
        <v>85</v>
      </c>
      <c r="E63" s="9" t="n">
        <v>3</v>
      </c>
      <c r="F63" s="5" t="s">
        <v>130</v>
      </c>
      <c r="G63" s="5" t="s">
        <v>19</v>
      </c>
      <c r="H63" s="5" t="n">
        <v>1</v>
      </c>
      <c r="I63" s="10" t="n">
        <f aca="false">INDEX(OD_LIST,MATCH(G63,TIPE_KODE,0))</f>
        <v>16</v>
      </c>
      <c r="J63" s="7" t="n">
        <f aca="false">I63*H63</f>
        <v>16</v>
      </c>
      <c r="K63" s="7" t="n">
        <f aca="false">PI()/4*I63^2*H63</f>
        <v>201.061929829747</v>
      </c>
    </row>
    <row r="64" customFormat="false" ht="15" hidden="false" customHeight="false" outlineLevel="0" collapsed="false">
      <c r="A64" s="5" t="n">
        <v>60</v>
      </c>
      <c r="B64" s="5" t="s">
        <v>77</v>
      </c>
      <c r="C64" s="5" t="s">
        <v>138</v>
      </c>
      <c r="D64" s="5" t="s">
        <v>85</v>
      </c>
      <c r="E64" s="9" t="n">
        <v>3</v>
      </c>
      <c r="F64" s="5" t="s">
        <v>130</v>
      </c>
      <c r="G64" s="5" t="s">
        <v>19</v>
      </c>
      <c r="H64" s="5" t="n">
        <v>1</v>
      </c>
      <c r="I64" s="10" t="n">
        <f aca="false">INDEX(OD_LIST,MATCH(G64,TIPE_KODE,0))</f>
        <v>16</v>
      </c>
      <c r="J64" s="7" t="n">
        <f aca="false">I64*H64</f>
        <v>16</v>
      </c>
      <c r="K64" s="7" t="n">
        <f aca="false">PI()/4*I64^2*H64</f>
        <v>201.061929829747</v>
      </c>
    </row>
    <row r="65" customFormat="false" ht="15" hidden="false" customHeight="false" outlineLevel="0" collapsed="false">
      <c r="A65" s="5" t="n">
        <v>61</v>
      </c>
      <c r="B65" s="5" t="s">
        <v>77</v>
      </c>
      <c r="C65" s="5" t="s">
        <v>139</v>
      </c>
      <c r="D65" s="5" t="s">
        <v>85</v>
      </c>
      <c r="E65" s="9" t="n">
        <v>3</v>
      </c>
      <c r="F65" s="5" t="s">
        <v>130</v>
      </c>
      <c r="G65" s="5" t="s">
        <v>19</v>
      </c>
      <c r="H65" s="5" t="n">
        <v>1</v>
      </c>
      <c r="I65" s="10" t="n">
        <f aca="false">INDEX(OD_LIST,MATCH(G65,TIPE_KODE,0))</f>
        <v>16</v>
      </c>
      <c r="J65" s="7" t="n">
        <f aca="false">I65*H65</f>
        <v>16</v>
      </c>
      <c r="K65" s="7" t="n">
        <f aca="false">PI()/4*I65^2*H65</f>
        <v>201.061929829747</v>
      </c>
    </row>
    <row r="66" customFormat="false" ht="15" hidden="false" customHeight="false" outlineLevel="0" collapsed="false">
      <c r="A66" s="5" t="n">
        <v>62</v>
      </c>
      <c r="B66" s="5" t="s">
        <v>77</v>
      </c>
      <c r="C66" s="5" t="s">
        <v>140</v>
      </c>
      <c r="D66" s="5" t="s">
        <v>85</v>
      </c>
      <c r="E66" s="9" t="n">
        <v>3</v>
      </c>
      <c r="F66" s="5" t="s">
        <v>130</v>
      </c>
      <c r="G66" s="5" t="s">
        <v>19</v>
      </c>
      <c r="H66" s="5" t="n">
        <v>1</v>
      </c>
      <c r="I66" s="10" t="n">
        <f aca="false">INDEX(OD_LIST,MATCH(G66,TIPE_KODE,0))</f>
        <v>16</v>
      </c>
      <c r="J66" s="7" t="n">
        <f aca="false">I66*H66</f>
        <v>16</v>
      </c>
      <c r="K66" s="7" t="n">
        <f aca="false">PI()/4*I66^2*H66</f>
        <v>201.061929829747</v>
      </c>
    </row>
    <row r="67" customFormat="false" ht="15" hidden="false" customHeight="false" outlineLevel="0" collapsed="false">
      <c r="A67" s="5" t="n">
        <v>63</v>
      </c>
      <c r="B67" s="5" t="s">
        <v>77</v>
      </c>
      <c r="C67" s="5" t="s">
        <v>141</v>
      </c>
      <c r="D67" s="5" t="s">
        <v>85</v>
      </c>
      <c r="E67" s="9" t="n">
        <v>3</v>
      </c>
      <c r="F67" s="5" t="s">
        <v>130</v>
      </c>
      <c r="G67" s="5" t="s">
        <v>19</v>
      </c>
      <c r="H67" s="5" t="n">
        <v>1</v>
      </c>
      <c r="I67" s="10" t="n">
        <f aca="false">INDEX(OD_LIST,MATCH(G67,TIPE_KODE,0))</f>
        <v>16</v>
      </c>
      <c r="J67" s="7" t="n">
        <f aca="false">I67*H67</f>
        <v>16</v>
      </c>
      <c r="K67" s="7" t="n">
        <f aca="false">PI()/4*I67^2*H67</f>
        <v>201.061929829747</v>
      </c>
    </row>
    <row r="68" customFormat="false" ht="15" hidden="false" customHeight="false" outlineLevel="0" collapsed="false">
      <c r="A68" s="5" t="n">
        <v>64</v>
      </c>
      <c r="B68" s="5" t="s">
        <v>77</v>
      </c>
      <c r="C68" s="5" t="s">
        <v>142</v>
      </c>
      <c r="D68" s="5" t="s">
        <v>85</v>
      </c>
      <c r="E68" s="9" t="n">
        <v>3</v>
      </c>
      <c r="F68" s="5" t="s">
        <v>130</v>
      </c>
      <c r="G68" s="5" t="s">
        <v>19</v>
      </c>
      <c r="H68" s="5" t="n">
        <v>1</v>
      </c>
      <c r="I68" s="10" t="n">
        <f aca="false">INDEX(OD_LIST,MATCH(G68,TIPE_KODE,0))</f>
        <v>16</v>
      </c>
      <c r="J68" s="7" t="n">
        <f aca="false">I68*H68</f>
        <v>16</v>
      </c>
      <c r="K68" s="7" t="n">
        <f aca="false">PI()/4*I68^2*H68</f>
        <v>201.061929829747</v>
      </c>
    </row>
    <row r="69" customFormat="false" ht="15" hidden="false" customHeight="false" outlineLevel="0" collapsed="false">
      <c r="A69" s="5" t="n">
        <v>65</v>
      </c>
      <c r="B69" s="5" t="s">
        <v>77</v>
      </c>
      <c r="C69" s="5" t="s">
        <v>143</v>
      </c>
      <c r="D69" s="5" t="s">
        <v>85</v>
      </c>
      <c r="E69" s="9" t="n">
        <v>2.2</v>
      </c>
      <c r="F69" s="5" t="s">
        <v>86</v>
      </c>
      <c r="G69" s="5" t="s">
        <v>12</v>
      </c>
      <c r="H69" s="5" t="n">
        <v>1</v>
      </c>
      <c r="I69" s="10" t="n">
        <f aca="false">INDEX(OD_LIST,MATCH(G69,TIPE_KODE,0))</f>
        <v>13.5</v>
      </c>
      <c r="J69" s="7" t="n">
        <f aca="false">I69*H69</f>
        <v>13.5</v>
      </c>
      <c r="K69" s="7" t="n">
        <f aca="false">PI()/4*I69^2*H69</f>
        <v>143.138815279185</v>
      </c>
    </row>
    <row r="70" customFormat="false" ht="15" hidden="false" customHeight="false" outlineLevel="0" collapsed="false">
      <c r="A70" s="5" t="n">
        <v>66</v>
      </c>
      <c r="B70" s="5" t="s">
        <v>77</v>
      </c>
      <c r="C70" s="5" t="s">
        <v>144</v>
      </c>
      <c r="D70" s="5" t="s">
        <v>85</v>
      </c>
      <c r="E70" s="9" t="n">
        <v>2.2</v>
      </c>
      <c r="F70" s="5" t="s">
        <v>86</v>
      </c>
      <c r="G70" s="5" t="s">
        <v>12</v>
      </c>
      <c r="H70" s="5" t="n">
        <v>1</v>
      </c>
      <c r="I70" s="10" t="n">
        <f aca="false">INDEX(OD_LIST,MATCH(G70,TIPE_KODE,0))</f>
        <v>13.5</v>
      </c>
      <c r="J70" s="7" t="n">
        <f aca="false">I70*H70</f>
        <v>13.5</v>
      </c>
      <c r="K70" s="7" t="n">
        <f aca="false">PI()/4*I70^2*H70</f>
        <v>143.138815279185</v>
      </c>
    </row>
    <row r="71" customFormat="false" ht="15" hidden="false" customHeight="false" outlineLevel="0" collapsed="false">
      <c r="A71" s="5" t="n">
        <v>67</v>
      </c>
      <c r="B71" s="5" t="s">
        <v>77</v>
      </c>
      <c r="C71" s="5" t="s">
        <v>145</v>
      </c>
      <c r="D71" s="5" t="s">
        <v>85</v>
      </c>
      <c r="E71" s="9" t="n">
        <v>2.2</v>
      </c>
      <c r="F71" s="5" t="s">
        <v>86</v>
      </c>
      <c r="G71" s="5" t="s">
        <v>12</v>
      </c>
      <c r="H71" s="5" t="n">
        <v>1</v>
      </c>
      <c r="I71" s="10" t="n">
        <f aca="false">INDEX(OD_LIST,MATCH(G71,TIPE_KODE,0))</f>
        <v>13.5</v>
      </c>
      <c r="J71" s="7" t="n">
        <f aca="false">I71*H71</f>
        <v>13.5</v>
      </c>
      <c r="K71" s="7" t="n">
        <f aca="false">PI()/4*I71^2*H71</f>
        <v>143.138815279185</v>
      </c>
    </row>
    <row r="72" customFormat="false" ht="15" hidden="false" customHeight="false" outlineLevel="0" collapsed="false">
      <c r="A72" s="5" t="n">
        <v>68</v>
      </c>
      <c r="B72" s="5" t="s">
        <v>77</v>
      </c>
      <c r="C72" s="5" t="s">
        <v>146</v>
      </c>
      <c r="D72" s="5" t="s">
        <v>85</v>
      </c>
      <c r="E72" s="9" t="n">
        <v>2.2</v>
      </c>
      <c r="F72" s="5" t="s">
        <v>86</v>
      </c>
      <c r="G72" s="5" t="s">
        <v>12</v>
      </c>
      <c r="H72" s="5" t="n">
        <v>1</v>
      </c>
      <c r="I72" s="10" t="n">
        <f aca="false">INDEX(OD_LIST,MATCH(G72,TIPE_KODE,0))</f>
        <v>13.5</v>
      </c>
      <c r="J72" s="7" t="n">
        <f aca="false">I72*H72</f>
        <v>13.5</v>
      </c>
      <c r="K72" s="7" t="n">
        <f aca="false">PI()/4*I72^2*H72</f>
        <v>143.138815279185</v>
      </c>
    </row>
    <row r="73" customFormat="false" ht="15" hidden="false" customHeight="false" outlineLevel="0" collapsed="false">
      <c r="A73" s="5" t="n">
        <v>69</v>
      </c>
      <c r="B73" s="5" t="s">
        <v>77</v>
      </c>
      <c r="C73" s="5" t="s">
        <v>147</v>
      </c>
      <c r="D73" s="5" t="s">
        <v>85</v>
      </c>
      <c r="E73" s="9" t="n">
        <v>2.2</v>
      </c>
      <c r="F73" s="5" t="s">
        <v>86</v>
      </c>
      <c r="G73" s="5" t="s">
        <v>12</v>
      </c>
      <c r="H73" s="5" t="n">
        <v>1</v>
      </c>
      <c r="I73" s="10" t="n">
        <f aca="false">INDEX(OD_LIST,MATCH(G73,TIPE_KODE,0))</f>
        <v>13.5</v>
      </c>
      <c r="J73" s="7" t="n">
        <f aca="false">I73*H73</f>
        <v>13.5</v>
      </c>
      <c r="K73" s="7" t="n">
        <f aca="false">PI()/4*I73^2*H73</f>
        <v>143.138815279185</v>
      </c>
    </row>
    <row r="74" customFormat="false" ht="15" hidden="false" customHeight="false" outlineLevel="0" collapsed="false">
      <c r="A74" s="5" t="n">
        <v>70</v>
      </c>
      <c r="B74" s="5" t="s">
        <v>77</v>
      </c>
      <c r="C74" s="5" t="s">
        <v>148</v>
      </c>
      <c r="D74" s="5" t="s">
        <v>85</v>
      </c>
      <c r="E74" s="9" t="n">
        <v>2.2</v>
      </c>
      <c r="F74" s="5" t="s">
        <v>86</v>
      </c>
      <c r="G74" s="5" t="s">
        <v>12</v>
      </c>
      <c r="H74" s="5" t="n">
        <v>1</v>
      </c>
      <c r="I74" s="10" t="n">
        <f aca="false">INDEX(OD_LIST,MATCH(G74,TIPE_KODE,0))</f>
        <v>13.5</v>
      </c>
      <c r="J74" s="7" t="n">
        <f aca="false">I74*H74</f>
        <v>13.5</v>
      </c>
      <c r="K74" s="7" t="n">
        <f aca="false">PI()/4*I74^2*H74</f>
        <v>143.138815279185</v>
      </c>
    </row>
    <row r="75" customFormat="false" ht="15" hidden="false" customHeight="false" outlineLevel="0" collapsed="false">
      <c r="A75" s="5" t="n">
        <v>71</v>
      </c>
      <c r="B75" s="5" t="s">
        <v>77</v>
      </c>
      <c r="C75" s="5" t="s">
        <v>149</v>
      </c>
      <c r="D75" s="5" t="s">
        <v>85</v>
      </c>
      <c r="E75" s="9" t="n">
        <v>2.2</v>
      </c>
      <c r="F75" s="5" t="s">
        <v>86</v>
      </c>
      <c r="G75" s="5" t="s">
        <v>12</v>
      </c>
      <c r="H75" s="5" t="n">
        <v>1</v>
      </c>
      <c r="I75" s="10" t="n">
        <f aca="false">INDEX(OD_LIST,MATCH(G75,TIPE_KODE,0))</f>
        <v>13.5</v>
      </c>
      <c r="J75" s="7" t="n">
        <f aca="false">I75*H75</f>
        <v>13.5</v>
      </c>
      <c r="K75" s="7" t="n">
        <f aca="false">PI()/4*I75^2*H75</f>
        <v>143.138815279185</v>
      </c>
    </row>
    <row r="76" customFormat="false" ht="15" hidden="false" customHeight="false" outlineLevel="0" collapsed="false">
      <c r="A76" s="5" t="n">
        <v>72</v>
      </c>
      <c r="B76" s="5" t="s">
        <v>77</v>
      </c>
      <c r="C76" s="5" t="s">
        <v>150</v>
      </c>
      <c r="D76" s="5" t="s">
        <v>85</v>
      </c>
      <c r="E76" s="9" t="n">
        <v>2.2</v>
      </c>
      <c r="F76" s="5" t="s">
        <v>86</v>
      </c>
      <c r="G76" s="5" t="s">
        <v>12</v>
      </c>
      <c r="H76" s="5" t="n">
        <v>1</v>
      </c>
      <c r="I76" s="10" t="n">
        <f aca="false">INDEX(OD_LIST,MATCH(G76,TIPE_KODE,0))</f>
        <v>13.5</v>
      </c>
      <c r="J76" s="7" t="n">
        <f aca="false">I76*H76</f>
        <v>13.5</v>
      </c>
      <c r="K76" s="7" t="n">
        <f aca="false">PI()/4*I76^2*H76</f>
        <v>143.138815279185</v>
      </c>
    </row>
    <row r="77" customFormat="false" ht="15" hidden="false" customHeight="false" outlineLevel="0" collapsed="false">
      <c r="A77" s="5" t="n">
        <v>73</v>
      </c>
      <c r="B77" s="5" t="s">
        <v>77</v>
      </c>
      <c r="C77" s="5" t="s">
        <v>151</v>
      </c>
      <c r="D77" s="5" t="s">
        <v>85</v>
      </c>
      <c r="E77" s="9" t="n">
        <v>2.2</v>
      </c>
      <c r="F77" s="5" t="s">
        <v>86</v>
      </c>
      <c r="G77" s="5" t="s">
        <v>12</v>
      </c>
      <c r="H77" s="5" t="n">
        <v>1</v>
      </c>
      <c r="I77" s="10" t="n">
        <f aca="false">INDEX(OD_LIST,MATCH(G77,TIPE_KODE,0))</f>
        <v>13.5</v>
      </c>
      <c r="J77" s="7" t="n">
        <f aca="false">I77*H77</f>
        <v>13.5</v>
      </c>
      <c r="K77" s="7" t="n">
        <f aca="false">PI()/4*I77^2*H77</f>
        <v>143.138815279185</v>
      </c>
    </row>
    <row r="78" customFormat="false" ht="15" hidden="false" customHeight="false" outlineLevel="0" collapsed="false">
      <c r="A78" s="5" t="n">
        <v>74</v>
      </c>
      <c r="B78" s="5" t="s">
        <v>77</v>
      </c>
      <c r="C78" s="5" t="s">
        <v>152</v>
      </c>
      <c r="D78" s="5" t="s">
        <v>85</v>
      </c>
      <c r="E78" s="9" t="n">
        <v>2.2</v>
      </c>
      <c r="F78" s="5" t="s">
        <v>86</v>
      </c>
      <c r="G78" s="5" t="s">
        <v>12</v>
      </c>
      <c r="H78" s="5" t="n">
        <v>1</v>
      </c>
      <c r="I78" s="10" t="n">
        <f aca="false">INDEX(OD_LIST,MATCH(G78,TIPE_KODE,0))</f>
        <v>13.5</v>
      </c>
      <c r="J78" s="7" t="n">
        <f aca="false">I78*H78</f>
        <v>13.5</v>
      </c>
      <c r="K78" s="7" t="n">
        <f aca="false">PI()/4*I78^2*H78</f>
        <v>143.138815279185</v>
      </c>
    </row>
    <row r="79" customFormat="false" ht="15" hidden="false" customHeight="false" outlineLevel="0" collapsed="false">
      <c r="A79" s="5" t="n">
        <v>75</v>
      </c>
      <c r="B79" s="5" t="s">
        <v>77</v>
      </c>
      <c r="C79" s="5" t="s">
        <v>153</v>
      </c>
      <c r="D79" s="5" t="s">
        <v>85</v>
      </c>
      <c r="E79" s="9" t="n">
        <v>2.2</v>
      </c>
      <c r="F79" s="5" t="s">
        <v>86</v>
      </c>
      <c r="G79" s="5" t="s">
        <v>12</v>
      </c>
      <c r="H79" s="5" t="n">
        <v>1</v>
      </c>
      <c r="I79" s="10" t="n">
        <f aca="false">INDEX(OD_LIST,MATCH(G79,TIPE_KODE,0))</f>
        <v>13.5</v>
      </c>
      <c r="J79" s="7" t="n">
        <f aca="false">I79*H79</f>
        <v>13.5</v>
      </c>
      <c r="K79" s="7" t="n">
        <f aca="false">PI()/4*I79^2*H79</f>
        <v>143.138815279185</v>
      </c>
    </row>
    <row r="80" customFormat="false" ht="15" hidden="false" customHeight="false" outlineLevel="0" collapsed="false">
      <c r="A80" s="5" t="n">
        <v>76</v>
      </c>
      <c r="B80" s="5" t="s">
        <v>77</v>
      </c>
      <c r="C80" s="5" t="s">
        <v>154</v>
      </c>
      <c r="D80" s="5" t="s">
        <v>85</v>
      </c>
      <c r="E80" s="9" t="n">
        <v>2.2</v>
      </c>
      <c r="F80" s="5" t="s">
        <v>86</v>
      </c>
      <c r="G80" s="5" t="s">
        <v>12</v>
      </c>
      <c r="H80" s="5" t="n">
        <v>1</v>
      </c>
      <c r="I80" s="10" t="n">
        <f aca="false">INDEX(OD_LIST,MATCH(G80,TIPE_KODE,0))</f>
        <v>13.5</v>
      </c>
      <c r="J80" s="7" t="n">
        <f aca="false">I80*H80</f>
        <v>13.5</v>
      </c>
      <c r="K80" s="7" t="n">
        <f aca="false">PI()/4*I80^2*H80</f>
        <v>143.138815279185</v>
      </c>
    </row>
    <row r="81" customFormat="false" ht="15" hidden="false" customHeight="false" outlineLevel="0" collapsed="false">
      <c r="A81" s="5" t="n">
        <v>77</v>
      </c>
      <c r="B81" s="5" t="s">
        <v>77</v>
      </c>
      <c r="C81" s="5" t="s">
        <v>155</v>
      </c>
      <c r="D81" s="5" t="s">
        <v>85</v>
      </c>
      <c r="E81" s="9" t="n">
        <v>1</v>
      </c>
      <c r="F81" s="5" t="s">
        <v>86</v>
      </c>
      <c r="G81" s="5" t="s">
        <v>12</v>
      </c>
      <c r="H81" s="5" t="n">
        <v>1</v>
      </c>
      <c r="I81" s="10" t="n">
        <f aca="false">INDEX(OD_LIST,MATCH(G81,TIPE_KODE,0))</f>
        <v>13.5</v>
      </c>
      <c r="J81" s="7" t="n">
        <f aca="false">I81*H81</f>
        <v>13.5</v>
      </c>
      <c r="K81" s="7" t="n">
        <f aca="false">PI()/4*I81^2*H81</f>
        <v>143.138815279185</v>
      </c>
    </row>
    <row r="82" customFormat="false" ht="15" hidden="false" customHeight="false" outlineLevel="0" collapsed="false">
      <c r="A82" s="5" t="n">
        <v>78</v>
      </c>
      <c r="B82" s="5" t="s">
        <v>77</v>
      </c>
      <c r="C82" s="5" t="s">
        <v>156</v>
      </c>
      <c r="D82" s="5" t="s">
        <v>85</v>
      </c>
      <c r="E82" s="9" t="n">
        <v>1</v>
      </c>
      <c r="F82" s="5" t="s">
        <v>86</v>
      </c>
      <c r="G82" s="5" t="s">
        <v>12</v>
      </c>
      <c r="H82" s="5" t="n">
        <v>1</v>
      </c>
      <c r="I82" s="10" t="n">
        <f aca="false">INDEX(OD_LIST,MATCH(G82,TIPE_KODE,0))</f>
        <v>13.5</v>
      </c>
      <c r="J82" s="7" t="n">
        <f aca="false">I82*H82</f>
        <v>13.5</v>
      </c>
      <c r="K82" s="7" t="n">
        <f aca="false">PI()/4*I82^2*H82</f>
        <v>143.138815279185</v>
      </c>
    </row>
    <row r="83" customFormat="false" ht="15" hidden="false" customHeight="false" outlineLevel="0" collapsed="false">
      <c r="A83" s="5" t="n">
        <v>79</v>
      </c>
      <c r="B83" s="5" t="s">
        <v>77</v>
      </c>
      <c r="C83" s="5" t="s">
        <v>157</v>
      </c>
      <c r="D83" s="5" t="s">
        <v>85</v>
      </c>
      <c r="E83" s="9" t="n">
        <v>0.8</v>
      </c>
      <c r="F83" s="5" t="s">
        <v>86</v>
      </c>
      <c r="G83" s="5" t="s">
        <v>12</v>
      </c>
      <c r="H83" s="5" t="n">
        <v>1</v>
      </c>
      <c r="I83" s="10" t="n">
        <f aca="false">INDEX(OD_LIST,MATCH(G83,TIPE_KODE,0))</f>
        <v>13.5</v>
      </c>
      <c r="J83" s="7" t="n">
        <f aca="false">I83*H83</f>
        <v>13.5</v>
      </c>
      <c r="K83" s="7" t="n">
        <f aca="false">PI()/4*I83^2*H83</f>
        <v>143.138815279185</v>
      </c>
    </row>
    <row r="84" customFormat="false" ht="15" hidden="false" customHeight="false" outlineLevel="0" collapsed="false">
      <c r="A84" s="5" t="n">
        <v>80</v>
      </c>
      <c r="B84" s="5" t="s">
        <v>77</v>
      </c>
      <c r="C84" s="5" t="s">
        <v>158</v>
      </c>
      <c r="D84" s="5" t="s">
        <v>85</v>
      </c>
      <c r="E84" s="9" t="n">
        <v>0.4</v>
      </c>
      <c r="F84" s="5" t="s">
        <v>86</v>
      </c>
      <c r="G84" s="5" t="s">
        <v>12</v>
      </c>
      <c r="H84" s="5" t="n">
        <v>1</v>
      </c>
      <c r="I84" s="10" t="n">
        <f aca="false">INDEX(OD_LIST,MATCH(G84,TIPE_KODE,0))</f>
        <v>13.5</v>
      </c>
      <c r="J84" s="7" t="n">
        <f aca="false">I84*H84</f>
        <v>13.5</v>
      </c>
      <c r="K84" s="7" t="n">
        <f aca="false">PI()/4*I84^2*H84</f>
        <v>143.138815279185</v>
      </c>
    </row>
    <row r="85" customFormat="false" ht="15" hidden="false" customHeight="false" outlineLevel="0" collapsed="false">
      <c r="A85" s="5" t="n">
        <v>81</v>
      </c>
      <c r="B85" s="5" t="s">
        <v>77</v>
      </c>
      <c r="C85" s="5" t="s">
        <v>159</v>
      </c>
      <c r="D85" s="5" t="s">
        <v>85</v>
      </c>
      <c r="E85" s="9" t="n">
        <v>1.2</v>
      </c>
      <c r="F85" s="5" t="s">
        <v>86</v>
      </c>
      <c r="G85" s="5" t="s">
        <v>12</v>
      </c>
      <c r="H85" s="5" t="n">
        <v>1</v>
      </c>
      <c r="I85" s="10" t="n">
        <f aca="false">INDEX(OD_LIST,MATCH(G85,TIPE_KODE,0))</f>
        <v>13.5</v>
      </c>
      <c r="J85" s="7" t="n">
        <f aca="false">I85*H85</f>
        <v>13.5</v>
      </c>
      <c r="K85" s="7" t="n">
        <f aca="false">PI()/4*I85^2*H85</f>
        <v>143.138815279185</v>
      </c>
    </row>
    <row r="86" customFormat="false" ht="15" hidden="false" customHeight="false" outlineLevel="0" collapsed="false">
      <c r="A86" s="5" t="n">
        <v>82</v>
      </c>
      <c r="B86" s="5" t="s">
        <v>77</v>
      </c>
      <c r="C86" s="5" t="s">
        <v>160</v>
      </c>
      <c r="D86" s="5" t="s">
        <v>85</v>
      </c>
      <c r="E86" s="9" t="n">
        <v>0.4</v>
      </c>
      <c r="F86" s="5" t="s">
        <v>86</v>
      </c>
      <c r="G86" s="5" t="s">
        <v>12</v>
      </c>
      <c r="H86" s="5" t="n">
        <v>1</v>
      </c>
      <c r="I86" s="10" t="n">
        <f aca="false">INDEX(OD_LIST,MATCH(G86,TIPE_KODE,0))</f>
        <v>13.5</v>
      </c>
      <c r="J86" s="7" t="n">
        <f aca="false">I86*H86</f>
        <v>13.5</v>
      </c>
      <c r="K86" s="7" t="n">
        <f aca="false">PI()/4*I86^2*H86</f>
        <v>143.138815279185</v>
      </c>
    </row>
    <row r="87" customFormat="false" ht="15" hidden="false" customHeight="false" outlineLevel="0" collapsed="false">
      <c r="A87" s="5" t="n">
        <v>83</v>
      </c>
      <c r="B87" s="5" t="s">
        <v>77</v>
      </c>
      <c r="C87" s="5" t="s">
        <v>161</v>
      </c>
      <c r="D87" s="5" t="s">
        <v>85</v>
      </c>
      <c r="E87" s="9" t="n">
        <v>0.8</v>
      </c>
      <c r="F87" s="5" t="s">
        <v>86</v>
      </c>
      <c r="G87" s="5" t="s">
        <v>12</v>
      </c>
      <c r="H87" s="5" t="n">
        <v>1</v>
      </c>
      <c r="I87" s="10" t="n">
        <f aca="false">INDEX(OD_LIST,MATCH(G87,TIPE_KODE,0))</f>
        <v>13.5</v>
      </c>
      <c r="J87" s="7" t="n">
        <f aca="false">I87*H87</f>
        <v>13.5</v>
      </c>
      <c r="K87" s="7" t="n">
        <f aca="false">PI()/4*I87^2*H87</f>
        <v>143.138815279185</v>
      </c>
    </row>
    <row r="88" customFormat="false" ht="15" hidden="false" customHeight="false" outlineLevel="0" collapsed="false">
      <c r="A88" s="5" t="n">
        <v>84</v>
      </c>
      <c r="B88" s="5" t="s">
        <v>77</v>
      </c>
      <c r="C88" s="5" t="s">
        <v>162</v>
      </c>
      <c r="D88" s="5" t="s">
        <v>85</v>
      </c>
      <c r="E88" s="9" t="n">
        <v>0.4</v>
      </c>
      <c r="F88" s="5" t="s">
        <v>86</v>
      </c>
      <c r="G88" s="5" t="s">
        <v>12</v>
      </c>
      <c r="H88" s="5" t="n">
        <v>1</v>
      </c>
      <c r="I88" s="10" t="n">
        <f aca="false">INDEX(OD_LIST,MATCH(G88,TIPE_KODE,0))</f>
        <v>13.5</v>
      </c>
      <c r="J88" s="7" t="n">
        <f aca="false">I88*H88</f>
        <v>13.5</v>
      </c>
      <c r="K88" s="7" t="n">
        <f aca="false">PI()/4*I88^2*H88</f>
        <v>143.138815279185</v>
      </c>
    </row>
    <row r="89" customFormat="false" ht="15" hidden="false" customHeight="false" outlineLevel="0" collapsed="false">
      <c r="A89" s="5" t="n">
        <v>85</v>
      </c>
      <c r="B89" s="5" t="s">
        <v>77</v>
      </c>
      <c r="C89" s="5" t="s">
        <v>163</v>
      </c>
      <c r="D89" s="5" t="s">
        <v>85</v>
      </c>
      <c r="E89" s="9" t="n">
        <v>0.8</v>
      </c>
      <c r="F89" s="5" t="s">
        <v>86</v>
      </c>
      <c r="G89" s="5" t="s">
        <v>12</v>
      </c>
      <c r="H89" s="5" t="n">
        <v>1</v>
      </c>
      <c r="I89" s="10" t="n">
        <f aca="false">INDEX(OD_LIST,MATCH(G89,TIPE_KODE,0))</f>
        <v>13.5</v>
      </c>
      <c r="J89" s="7" t="n">
        <f aca="false">I89*H89</f>
        <v>13.5</v>
      </c>
      <c r="K89" s="7" t="n">
        <f aca="false">PI()/4*I89^2*H89</f>
        <v>143.138815279185</v>
      </c>
    </row>
    <row r="90" customFormat="false" ht="15" hidden="false" customHeight="false" outlineLevel="0" collapsed="false">
      <c r="A90" s="5" t="n">
        <v>86</v>
      </c>
      <c r="B90" s="5" t="s">
        <v>77</v>
      </c>
      <c r="C90" s="5" t="s">
        <v>164</v>
      </c>
      <c r="D90" s="5" t="s">
        <v>85</v>
      </c>
      <c r="E90" s="9" t="n">
        <v>1</v>
      </c>
      <c r="F90" s="5" t="s">
        <v>86</v>
      </c>
      <c r="G90" s="5" t="s">
        <v>12</v>
      </c>
      <c r="H90" s="5" t="n">
        <v>1</v>
      </c>
      <c r="I90" s="10" t="n">
        <f aca="false">INDEX(OD_LIST,MATCH(G90,TIPE_KODE,0))</f>
        <v>13.5</v>
      </c>
      <c r="J90" s="7" t="n">
        <f aca="false">I90*H90</f>
        <v>13.5</v>
      </c>
      <c r="K90" s="7" t="n">
        <f aca="false">PI()/4*I90^2*H90</f>
        <v>143.138815279185</v>
      </c>
    </row>
    <row r="91" customFormat="false" ht="15" hidden="false" customHeight="false" outlineLevel="0" collapsed="false">
      <c r="A91" s="5" t="n">
        <v>87</v>
      </c>
      <c r="B91" s="5" t="s">
        <v>77</v>
      </c>
      <c r="C91" s="5" t="s">
        <v>165</v>
      </c>
      <c r="D91" s="5" t="s">
        <v>85</v>
      </c>
      <c r="E91" s="9" t="n">
        <v>1</v>
      </c>
      <c r="F91" s="5" t="s">
        <v>86</v>
      </c>
      <c r="G91" s="5" t="s">
        <v>12</v>
      </c>
      <c r="H91" s="5" t="n">
        <v>1</v>
      </c>
      <c r="I91" s="10" t="n">
        <f aca="false">INDEX(OD_LIST,MATCH(G91,TIPE_KODE,0))</f>
        <v>13.5</v>
      </c>
      <c r="J91" s="7" t="n">
        <f aca="false">I91*H91</f>
        <v>13.5</v>
      </c>
      <c r="K91" s="7" t="n">
        <f aca="false">PI()/4*I91^2*H91</f>
        <v>143.138815279185</v>
      </c>
    </row>
    <row r="92" customFormat="false" ht="15" hidden="false" customHeight="false" outlineLevel="0" collapsed="false">
      <c r="A92" s="5" t="n">
        <v>88</v>
      </c>
      <c r="B92" s="5" t="s">
        <v>77</v>
      </c>
      <c r="C92" s="5" t="s">
        <v>166</v>
      </c>
      <c r="D92" s="5" t="s">
        <v>85</v>
      </c>
      <c r="E92" s="9" t="n">
        <v>0.6</v>
      </c>
      <c r="F92" s="5" t="s">
        <v>86</v>
      </c>
      <c r="G92" s="5" t="s">
        <v>12</v>
      </c>
      <c r="H92" s="5" t="n">
        <v>1</v>
      </c>
      <c r="I92" s="10" t="n">
        <f aca="false">INDEX(OD_LIST,MATCH(G92,TIPE_KODE,0))</f>
        <v>13.5</v>
      </c>
      <c r="J92" s="7" t="n">
        <f aca="false">I92*H92</f>
        <v>13.5</v>
      </c>
      <c r="K92" s="7" t="n">
        <f aca="false">PI()/4*I92^2*H92</f>
        <v>143.138815279185</v>
      </c>
    </row>
    <row r="93" customFormat="false" ht="15" hidden="false" customHeight="false" outlineLevel="0" collapsed="false">
      <c r="A93" s="5" t="n">
        <v>89</v>
      </c>
      <c r="B93" s="5" t="s">
        <v>77</v>
      </c>
      <c r="C93" s="5" t="s">
        <v>167</v>
      </c>
      <c r="D93" s="5" t="s">
        <v>85</v>
      </c>
      <c r="E93" s="9" t="n">
        <v>0.4</v>
      </c>
      <c r="F93" s="5" t="s">
        <v>86</v>
      </c>
      <c r="G93" s="5" t="s">
        <v>12</v>
      </c>
      <c r="H93" s="5" t="n">
        <v>1</v>
      </c>
      <c r="I93" s="10" t="n">
        <f aca="false">INDEX(OD_LIST,MATCH(G93,TIPE_KODE,0))</f>
        <v>13.5</v>
      </c>
      <c r="J93" s="7" t="n">
        <f aca="false">I93*H93</f>
        <v>13.5</v>
      </c>
      <c r="K93" s="7" t="n">
        <f aca="false">PI()/4*I93^2*H93</f>
        <v>143.138815279185</v>
      </c>
    </row>
    <row r="94" customFormat="false" ht="15" hidden="false" customHeight="false" outlineLevel="0" collapsed="false">
      <c r="A94" s="5" t="n">
        <v>90</v>
      </c>
      <c r="B94" s="5" t="s">
        <v>77</v>
      </c>
      <c r="C94" s="5" t="s">
        <v>168</v>
      </c>
      <c r="D94" s="5" t="s">
        <v>85</v>
      </c>
      <c r="E94" s="9" t="n">
        <v>0.6</v>
      </c>
      <c r="F94" s="5" t="s">
        <v>86</v>
      </c>
      <c r="G94" s="5" t="s">
        <v>12</v>
      </c>
      <c r="H94" s="5" t="n">
        <v>1</v>
      </c>
      <c r="I94" s="10" t="n">
        <f aca="false">INDEX(OD_LIST,MATCH(G94,TIPE_KODE,0))</f>
        <v>13.5</v>
      </c>
      <c r="J94" s="7" t="n">
        <f aca="false">I94*H94</f>
        <v>13.5</v>
      </c>
      <c r="K94" s="7" t="n">
        <f aca="false">PI()/4*I94^2*H94</f>
        <v>143.138815279185</v>
      </c>
    </row>
    <row r="95" customFormat="false" ht="15" hidden="false" customHeight="false" outlineLevel="0" collapsed="false">
      <c r="A95" s="5" t="n">
        <v>91</v>
      </c>
      <c r="B95" s="5" t="s">
        <v>77</v>
      </c>
      <c r="C95" s="5" t="s">
        <v>169</v>
      </c>
      <c r="D95" s="5" t="s">
        <v>85</v>
      </c>
      <c r="E95" s="9" t="n">
        <v>0.6</v>
      </c>
      <c r="F95" s="5" t="s">
        <v>86</v>
      </c>
      <c r="G95" s="5" t="s">
        <v>12</v>
      </c>
      <c r="H95" s="5" t="n">
        <v>1</v>
      </c>
      <c r="I95" s="10" t="n">
        <f aca="false">INDEX(OD_LIST,MATCH(G95,TIPE_KODE,0))</f>
        <v>13.5</v>
      </c>
      <c r="J95" s="7" t="n">
        <f aca="false">I95*H95</f>
        <v>13.5</v>
      </c>
      <c r="K95" s="7" t="n">
        <f aca="false">PI()/4*I95^2*H95</f>
        <v>143.138815279185</v>
      </c>
    </row>
    <row r="96" customFormat="false" ht="15" hidden="false" customHeight="false" outlineLevel="0" collapsed="false">
      <c r="A96" s="5" t="n">
        <v>92</v>
      </c>
      <c r="B96" s="5" t="s">
        <v>77</v>
      </c>
      <c r="C96" s="5" t="s">
        <v>170</v>
      </c>
      <c r="D96" s="5" t="s">
        <v>85</v>
      </c>
      <c r="E96" s="9" t="n">
        <v>0.4</v>
      </c>
      <c r="F96" s="5" t="s">
        <v>86</v>
      </c>
      <c r="G96" s="5" t="s">
        <v>12</v>
      </c>
      <c r="H96" s="5" t="n">
        <v>1</v>
      </c>
      <c r="I96" s="10" t="n">
        <f aca="false">INDEX(OD_LIST,MATCH(G96,TIPE_KODE,0))</f>
        <v>13.5</v>
      </c>
      <c r="J96" s="7" t="n">
        <f aca="false">I96*H96</f>
        <v>13.5</v>
      </c>
      <c r="K96" s="7" t="n">
        <f aca="false">PI()/4*I96^2*H96</f>
        <v>143.138815279185</v>
      </c>
    </row>
    <row r="97" customFormat="false" ht="15" hidden="false" customHeight="false" outlineLevel="0" collapsed="false">
      <c r="A97" s="5" t="n">
        <v>93</v>
      </c>
      <c r="B97" s="5" t="s">
        <v>77</v>
      </c>
      <c r="C97" s="5" t="s">
        <v>171</v>
      </c>
      <c r="D97" s="5" t="s">
        <v>85</v>
      </c>
      <c r="E97" s="9" t="n">
        <v>0.4</v>
      </c>
      <c r="F97" s="5" t="s">
        <v>86</v>
      </c>
      <c r="G97" s="5" t="s">
        <v>12</v>
      </c>
      <c r="H97" s="5" t="n">
        <v>1</v>
      </c>
      <c r="I97" s="10" t="n">
        <f aca="false">INDEX(OD_LIST,MATCH(G97,TIPE_KODE,0))</f>
        <v>13.5</v>
      </c>
      <c r="J97" s="7" t="n">
        <f aca="false">I97*H97</f>
        <v>13.5</v>
      </c>
      <c r="K97" s="7" t="n">
        <f aca="false">PI()/4*I97^2*H97</f>
        <v>143.138815279185</v>
      </c>
    </row>
    <row r="98" customFormat="false" ht="15" hidden="false" customHeight="false" outlineLevel="0" collapsed="false">
      <c r="A98" s="5" t="n">
        <v>94</v>
      </c>
      <c r="B98" s="5" t="s">
        <v>77</v>
      </c>
      <c r="C98" s="5" t="s">
        <v>172</v>
      </c>
      <c r="D98" s="5" t="s">
        <v>85</v>
      </c>
      <c r="E98" s="9" t="n">
        <v>0.4</v>
      </c>
      <c r="F98" s="5" t="s">
        <v>86</v>
      </c>
      <c r="G98" s="5" t="s">
        <v>12</v>
      </c>
      <c r="H98" s="5" t="n">
        <v>1</v>
      </c>
      <c r="I98" s="10" t="n">
        <f aca="false">INDEX(OD_LIST,MATCH(G98,TIPE_KODE,0))</f>
        <v>13.5</v>
      </c>
      <c r="J98" s="7" t="n">
        <f aca="false">I98*H98</f>
        <v>13.5</v>
      </c>
      <c r="K98" s="7" t="n">
        <f aca="false">PI()/4*I98^2*H98</f>
        <v>143.138815279185</v>
      </c>
    </row>
    <row r="99" customFormat="false" ht="15" hidden="false" customHeight="false" outlineLevel="0" collapsed="false">
      <c r="A99" s="5" t="n">
        <v>95</v>
      </c>
      <c r="B99" s="5" t="s">
        <v>77</v>
      </c>
      <c r="C99" s="5" t="s">
        <v>173</v>
      </c>
      <c r="D99" s="5" t="s">
        <v>85</v>
      </c>
      <c r="E99" s="9" t="n">
        <v>0.6</v>
      </c>
      <c r="F99" s="5" t="s">
        <v>86</v>
      </c>
      <c r="G99" s="5" t="s">
        <v>12</v>
      </c>
      <c r="H99" s="5" t="n">
        <v>1</v>
      </c>
      <c r="I99" s="10" t="n">
        <f aca="false">INDEX(OD_LIST,MATCH(G99,TIPE_KODE,0))</f>
        <v>13.5</v>
      </c>
      <c r="J99" s="7" t="n">
        <f aca="false">I99*H99</f>
        <v>13.5</v>
      </c>
      <c r="K99" s="7" t="n">
        <f aca="false">PI()/4*I99^2*H99</f>
        <v>143.138815279185</v>
      </c>
    </row>
    <row r="100" customFormat="false" ht="15" hidden="false" customHeight="false" outlineLevel="0" collapsed="false">
      <c r="A100" s="5" t="n">
        <v>96</v>
      </c>
      <c r="B100" s="5" t="s">
        <v>77</v>
      </c>
      <c r="C100" s="5" t="s">
        <v>174</v>
      </c>
      <c r="D100" s="5" t="s">
        <v>85</v>
      </c>
      <c r="E100" s="9" t="n">
        <v>0.6</v>
      </c>
      <c r="F100" s="5" t="s">
        <v>86</v>
      </c>
      <c r="G100" s="5" t="s">
        <v>12</v>
      </c>
      <c r="H100" s="5" t="n">
        <v>1</v>
      </c>
      <c r="I100" s="10" t="n">
        <f aca="false">INDEX(OD_LIST,MATCH(G100,TIPE_KODE,0))</f>
        <v>13.5</v>
      </c>
      <c r="J100" s="7" t="n">
        <f aca="false">I100*H100</f>
        <v>13.5</v>
      </c>
      <c r="K100" s="7" t="n">
        <f aca="false">PI()/4*I100^2*H100</f>
        <v>143.138815279185</v>
      </c>
    </row>
    <row r="101" customFormat="false" ht="15" hidden="false" customHeight="false" outlineLevel="0" collapsed="false">
      <c r="A101" s="5" t="n">
        <v>97</v>
      </c>
      <c r="B101" s="5" t="s">
        <v>77</v>
      </c>
      <c r="C101" s="5" t="s">
        <v>175</v>
      </c>
      <c r="D101" s="5" t="s">
        <v>85</v>
      </c>
      <c r="E101" s="9" t="n">
        <v>0.6</v>
      </c>
      <c r="F101" s="5" t="s">
        <v>86</v>
      </c>
      <c r="G101" s="5" t="s">
        <v>12</v>
      </c>
      <c r="H101" s="5" t="n">
        <v>1</v>
      </c>
      <c r="I101" s="10" t="n">
        <f aca="false">INDEX(OD_LIST,MATCH(G101,TIPE_KODE,0))</f>
        <v>13.5</v>
      </c>
      <c r="J101" s="7" t="n">
        <f aca="false">I101*H101</f>
        <v>13.5</v>
      </c>
      <c r="K101" s="7" t="n">
        <f aca="false">PI()/4*I101^2*H101</f>
        <v>143.138815279185</v>
      </c>
    </row>
    <row r="102" customFormat="false" ht="15" hidden="false" customHeight="false" outlineLevel="0" collapsed="false">
      <c r="A102" s="5" t="n">
        <v>98</v>
      </c>
      <c r="B102" s="5" t="s">
        <v>77</v>
      </c>
      <c r="C102" s="5" t="s">
        <v>176</v>
      </c>
      <c r="D102" s="5" t="s">
        <v>85</v>
      </c>
      <c r="E102" s="9" t="n">
        <v>22</v>
      </c>
      <c r="F102" s="5" t="s">
        <v>177</v>
      </c>
      <c r="G102" s="5" t="s">
        <v>26</v>
      </c>
      <c r="H102" s="5" t="n">
        <v>1</v>
      </c>
      <c r="I102" s="10" t="n">
        <f aca="false">INDEX(OD_LIST,MATCH(G102,TIPE_KODE,0))</f>
        <v>26</v>
      </c>
      <c r="J102" s="7" t="n">
        <f aca="false">I102*H102</f>
        <v>26</v>
      </c>
      <c r="K102" s="7" t="n">
        <f aca="false">PI()/4*I102^2*H102</f>
        <v>530.929158456675</v>
      </c>
    </row>
    <row r="103" customFormat="false" ht="15" hidden="false" customHeight="false" outlineLevel="0" collapsed="false">
      <c r="A103" s="5" t="n">
        <v>99</v>
      </c>
      <c r="B103" s="5" t="s">
        <v>77</v>
      </c>
      <c r="C103" s="5" t="s">
        <v>178</v>
      </c>
      <c r="D103" s="5" t="s">
        <v>85</v>
      </c>
      <c r="E103" s="9" t="n">
        <v>22</v>
      </c>
      <c r="F103" s="5" t="s">
        <v>177</v>
      </c>
      <c r="G103" s="5" t="s">
        <v>26</v>
      </c>
      <c r="H103" s="5" t="n">
        <v>1</v>
      </c>
      <c r="I103" s="10" t="n">
        <f aca="false">INDEX(OD_LIST,MATCH(G103,TIPE_KODE,0))</f>
        <v>26</v>
      </c>
      <c r="J103" s="7" t="n">
        <f aca="false">I103*H103</f>
        <v>26</v>
      </c>
      <c r="K103" s="7" t="n">
        <f aca="false">PI()/4*I103^2*H103</f>
        <v>530.929158456675</v>
      </c>
    </row>
    <row r="104" customFormat="false" ht="15" hidden="false" customHeight="false" outlineLevel="0" collapsed="false">
      <c r="A104" s="5" t="n">
        <v>100</v>
      </c>
      <c r="B104" s="5" t="s">
        <v>77</v>
      </c>
      <c r="C104" s="5" t="s">
        <v>179</v>
      </c>
      <c r="D104" s="5" t="s">
        <v>85</v>
      </c>
      <c r="E104" s="9" t="n">
        <v>1.5</v>
      </c>
      <c r="F104" s="5" t="s">
        <v>130</v>
      </c>
      <c r="G104" s="5" t="s">
        <v>19</v>
      </c>
      <c r="H104" s="5" t="n">
        <v>1</v>
      </c>
      <c r="I104" s="10" t="n">
        <f aca="false">INDEX(OD_LIST,MATCH(G104,TIPE_KODE,0))</f>
        <v>16</v>
      </c>
      <c r="J104" s="7" t="n">
        <f aca="false">I104*H104</f>
        <v>16</v>
      </c>
      <c r="K104" s="7" t="n">
        <f aca="false">PI()/4*I104^2*H104</f>
        <v>201.061929829747</v>
      </c>
    </row>
    <row r="105" customFormat="false" ht="15" hidden="false" customHeight="false" outlineLevel="0" collapsed="false">
      <c r="A105" s="5" t="n">
        <v>101</v>
      </c>
      <c r="B105" s="5" t="s">
        <v>77</v>
      </c>
      <c r="C105" s="5" t="s">
        <v>180</v>
      </c>
      <c r="D105" s="5" t="s">
        <v>85</v>
      </c>
      <c r="E105" s="9" t="n">
        <v>1.5</v>
      </c>
      <c r="F105" s="5" t="s">
        <v>130</v>
      </c>
      <c r="G105" s="5" t="s">
        <v>19</v>
      </c>
      <c r="H105" s="5" t="n">
        <v>1</v>
      </c>
      <c r="I105" s="10" t="n">
        <f aca="false">INDEX(OD_LIST,MATCH(G105,TIPE_KODE,0))</f>
        <v>16</v>
      </c>
      <c r="J105" s="7" t="n">
        <f aca="false">I105*H105</f>
        <v>16</v>
      </c>
      <c r="K105" s="7" t="n">
        <f aca="false">PI()/4*I105^2*H105</f>
        <v>201.061929829747</v>
      </c>
    </row>
    <row r="106" customFormat="false" ht="15" hidden="false" customHeight="false" outlineLevel="0" collapsed="false">
      <c r="A106" s="5" t="n">
        <v>102</v>
      </c>
      <c r="B106" s="5" t="s">
        <v>77</v>
      </c>
      <c r="C106" s="5" t="s">
        <v>181</v>
      </c>
      <c r="D106" s="5" t="s">
        <v>85</v>
      </c>
      <c r="E106" s="9" t="n">
        <v>2.2</v>
      </c>
      <c r="F106" s="5" t="s">
        <v>86</v>
      </c>
      <c r="G106" s="5" t="s">
        <v>12</v>
      </c>
      <c r="H106" s="5" t="n">
        <v>1</v>
      </c>
      <c r="I106" s="10" t="n">
        <f aca="false">INDEX(OD_LIST,MATCH(G106,TIPE_KODE,0))</f>
        <v>13.5</v>
      </c>
      <c r="J106" s="7" t="n">
        <f aca="false">I106*H106</f>
        <v>13.5</v>
      </c>
      <c r="K106" s="7" t="n">
        <f aca="false">PI()/4*I106^2*H106</f>
        <v>143.138815279185</v>
      </c>
    </row>
    <row r="107" customFormat="false" ht="15" hidden="false" customHeight="false" outlineLevel="0" collapsed="false">
      <c r="A107" s="5" t="n">
        <v>103</v>
      </c>
      <c r="B107" s="5" t="s">
        <v>77</v>
      </c>
      <c r="C107" s="5" t="s">
        <v>182</v>
      </c>
      <c r="D107" s="5" t="s">
        <v>85</v>
      </c>
      <c r="E107" s="9" t="n">
        <v>1.5</v>
      </c>
      <c r="F107" s="5" t="s">
        <v>86</v>
      </c>
      <c r="G107" s="5" t="s">
        <v>12</v>
      </c>
      <c r="H107" s="5" t="n">
        <v>1</v>
      </c>
      <c r="I107" s="10" t="n">
        <f aca="false">INDEX(OD_LIST,MATCH(G107,TIPE_KODE,0))</f>
        <v>13.5</v>
      </c>
      <c r="J107" s="7" t="n">
        <f aca="false">I107*H107</f>
        <v>13.5</v>
      </c>
      <c r="K107" s="7" t="n">
        <f aca="false">PI()/4*I107^2*H107</f>
        <v>143.138815279185</v>
      </c>
    </row>
    <row r="108" customFormat="false" ht="15" hidden="false" customHeight="false" outlineLevel="0" collapsed="false">
      <c r="A108" s="5" t="n">
        <v>104</v>
      </c>
      <c r="B108" s="5" t="s">
        <v>77</v>
      </c>
      <c r="C108" s="5" t="s">
        <v>183</v>
      </c>
      <c r="D108" s="5" t="s">
        <v>85</v>
      </c>
      <c r="E108" s="9" t="n">
        <v>1.5</v>
      </c>
      <c r="F108" s="5" t="s">
        <v>86</v>
      </c>
      <c r="G108" s="5" t="s">
        <v>12</v>
      </c>
      <c r="H108" s="5" t="n">
        <v>1</v>
      </c>
      <c r="I108" s="10" t="n">
        <f aca="false">INDEX(OD_LIST,MATCH(G108,TIPE_KODE,0))</f>
        <v>13.5</v>
      </c>
      <c r="J108" s="7" t="n">
        <f aca="false">I108*H108</f>
        <v>13.5</v>
      </c>
      <c r="K108" s="7" t="n">
        <f aca="false">PI()/4*I108^2*H108</f>
        <v>143.138815279185</v>
      </c>
    </row>
    <row r="109" customFormat="false" ht="15" hidden="false" customHeight="false" outlineLevel="0" collapsed="false">
      <c r="A109" s="5" t="n">
        <v>105</v>
      </c>
      <c r="B109" s="5" t="s">
        <v>77</v>
      </c>
      <c r="C109" s="5" t="s">
        <v>184</v>
      </c>
      <c r="D109" s="5" t="s">
        <v>85</v>
      </c>
      <c r="E109" s="9" t="n">
        <v>1.2</v>
      </c>
      <c r="F109" s="5" t="s">
        <v>86</v>
      </c>
      <c r="G109" s="5" t="s">
        <v>12</v>
      </c>
      <c r="H109" s="5" t="n">
        <v>1</v>
      </c>
      <c r="I109" s="10" t="n">
        <f aca="false">INDEX(OD_LIST,MATCH(G109,TIPE_KODE,0))</f>
        <v>13.5</v>
      </c>
      <c r="J109" s="7" t="n">
        <f aca="false">I109*H109</f>
        <v>13.5</v>
      </c>
      <c r="K109" s="7" t="n">
        <f aca="false">PI()/4*I109^2*H109</f>
        <v>143.138815279185</v>
      </c>
    </row>
    <row r="110" customFormat="false" ht="15" hidden="false" customHeight="false" outlineLevel="0" collapsed="false">
      <c r="A110" s="5" t="n">
        <v>106</v>
      </c>
      <c r="B110" s="5" t="s">
        <v>77</v>
      </c>
      <c r="C110" s="5" t="s">
        <v>185</v>
      </c>
      <c r="D110" s="5" t="s">
        <v>85</v>
      </c>
      <c r="E110" s="9" t="n">
        <v>1.2</v>
      </c>
      <c r="F110" s="5" t="s">
        <v>86</v>
      </c>
      <c r="G110" s="5" t="s">
        <v>12</v>
      </c>
      <c r="H110" s="5" t="n">
        <v>1</v>
      </c>
      <c r="I110" s="10" t="n">
        <f aca="false">INDEX(OD_LIST,MATCH(G110,TIPE_KODE,0))</f>
        <v>13.5</v>
      </c>
      <c r="J110" s="7" t="n">
        <f aca="false">I110*H110</f>
        <v>13.5</v>
      </c>
      <c r="K110" s="7" t="n">
        <f aca="false">PI()/4*I110^2*H110</f>
        <v>143.138815279185</v>
      </c>
    </row>
    <row r="111" customFormat="false" ht="15" hidden="false" customHeight="false" outlineLevel="0" collapsed="false">
      <c r="A111" s="5" t="n">
        <v>107</v>
      </c>
      <c r="B111" s="5" t="s">
        <v>77</v>
      </c>
      <c r="C111" s="5" t="s">
        <v>186</v>
      </c>
      <c r="D111" s="5" t="s">
        <v>85</v>
      </c>
      <c r="E111" s="9" t="n">
        <v>0.8</v>
      </c>
      <c r="F111" s="5" t="s">
        <v>86</v>
      </c>
      <c r="G111" s="5" t="s">
        <v>12</v>
      </c>
      <c r="H111" s="5" t="n">
        <v>1</v>
      </c>
      <c r="I111" s="10" t="n">
        <f aca="false">INDEX(OD_LIST,MATCH(G111,TIPE_KODE,0))</f>
        <v>13.5</v>
      </c>
      <c r="J111" s="7" t="n">
        <f aca="false">I111*H111</f>
        <v>13.5</v>
      </c>
      <c r="K111" s="7" t="n">
        <f aca="false">PI()/4*I111^2*H111</f>
        <v>143.138815279185</v>
      </c>
    </row>
    <row r="112" customFormat="false" ht="15" hidden="false" customHeight="false" outlineLevel="0" collapsed="false">
      <c r="A112" s="5" t="n">
        <v>108</v>
      </c>
      <c r="B112" s="5" t="s">
        <v>77</v>
      </c>
      <c r="C112" s="5" t="s">
        <v>187</v>
      </c>
      <c r="D112" s="5" t="s">
        <v>85</v>
      </c>
      <c r="E112" s="9" t="n">
        <v>0.8</v>
      </c>
      <c r="F112" s="5" t="s">
        <v>86</v>
      </c>
      <c r="G112" s="5" t="s">
        <v>12</v>
      </c>
      <c r="H112" s="5" t="n">
        <v>1</v>
      </c>
      <c r="I112" s="10" t="n">
        <f aca="false">INDEX(OD_LIST,MATCH(G112,TIPE_KODE,0))</f>
        <v>13.5</v>
      </c>
      <c r="J112" s="7" t="n">
        <f aca="false">I112*H112</f>
        <v>13.5</v>
      </c>
      <c r="K112" s="7" t="n">
        <f aca="false">PI()/4*I112^2*H112</f>
        <v>143.138815279185</v>
      </c>
    </row>
    <row r="113" customFormat="false" ht="15" hidden="false" customHeight="false" outlineLevel="0" collapsed="false">
      <c r="A113" s="5" t="n">
        <v>109</v>
      </c>
      <c r="B113" s="5" t="s">
        <v>77</v>
      </c>
      <c r="C113" s="5" t="s">
        <v>188</v>
      </c>
      <c r="D113" s="5" t="s">
        <v>85</v>
      </c>
      <c r="E113" s="9" t="n">
        <v>0.8</v>
      </c>
      <c r="F113" s="5" t="s">
        <v>86</v>
      </c>
      <c r="G113" s="5" t="s">
        <v>12</v>
      </c>
      <c r="H113" s="5" t="n">
        <v>1</v>
      </c>
      <c r="I113" s="10" t="n">
        <f aca="false">INDEX(OD_LIST,MATCH(G113,TIPE_KODE,0))</f>
        <v>13.5</v>
      </c>
      <c r="J113" s="7" t="n">
        <f aca="false">I113*H113</f>
        <v>13.5</v>
      </c>
      <c r="K113" s="7" t="n">
        <f aca="false">PI()/4*I113^2*H113</f>
        <v>143.138815279185</v>
      </c>
    </row>
    <row r="114" customFormat="false" ht="15" hidden="false" customHeight="false" outlineLevel="0" collapsed="false">
      <c r="A114" s="5" t="n">
        <v>110</v>
      </c>
      <c r="B114" s="5" t="s">
        <v>77</v>
      </c>
      <c r="C114" s="5" t="s">
        <v>189</v>
      </c>
      <c r="D114" s="5" t="s">
        <v>85</v>
      </c>
      <c r="E114" s="9" t="n">
        <v>0.6</v>
      </c>
      <c r="F114" s="5" t="s">
        <v>86</v>
      </c>
      <c r="G114" s="5" t="s">
        <v>12</v>
      </c>
      <c r="H114" s="5" t="n">
        <v>1</v>
      </c>
      <c r="I114" s="10" t="n">
        <f aca="false">INDEX(OD_LIST,MATCH(G114,TIPE_KODE,0))</f>
        <v>13.5</v>
      </c>
      <c r="J114" s="7" t="n">
        <f aca="false">I114*H114</f>
        <v>13.5</v>
      </c>
      <c r="K114" s="7" t="n">
        <f aca="false">PI()/4*I114^2*H114</f>
        <v>143.138815279185</v>
      </c>
    </row>
    <row r="115" customFormat="false" ht="15" hidden="false" customHeight="false" outlineLevel="0" collapsed="false">
      <c r="A115" s="5" t="n">
        <v>111</v>
      </c>
      <c r="B115" s="5" t="s">
        <v>77</v>
      </c>
      <c r="C115" s="5" t="s">
        <v>190</v>
      </c>
      <c r="D115" s="5" t="s">
        <v>85</v>
      </c>
      <c r="E115" s="9" t="n">
        <v>0.4</v>
      </c>
      <c r="F115" s="5" t="s">
        <v>86</v>
      </c>
      <c r="G115" s="5" t="s">
        <v>12</v>
      </c>
      <c r="H115" s="5" t="n">
        <v>1</v>
      </c>
      <c r="I115" s="10" t="n">
        <f aca="false">INDEX(OD_LIST,MATCH(G115,TIPE_KODE,0))</f>
        <v>13.5</v>
      </c>
      <c r="J115" s="7" t="n">
        <f aca="false">I115*H115</f>
        <v>13.5</v>
      </c>
      <c r="K115" s="7" t="n">
        <f aca="false">PI()/4*I115^2*H115</f>
        <v>143.138815279185</v>
      </c>
    </row>
    <row r="116" customFormat="false" ht="15" hidden="false" customHeight="false" outlineLevel="0" collapsed="false">
      <c r="A116" s="5" t="n">
        <v>112</v>
      </c>
      <c r="B116" s="5" t="s">
        <v>77</v>
      </c>
      <c r="C116" s="5" t="s">
        <v>191</v>
      </c>
      <c r="D116" s="5" t="s">
        <v>85</v>
      </c>
      <c r="E116" s="9" t="n">
        <v>0.8</v>
      </c>
      <c r="F116" s="5" t="s">
        <v>86</v>
      </c>
      <c r="G116" s="5" t="s">
        <v>12</v>
      </c>
      <c r="H116" s="5" t="n">
        <v>1</v>
      </c>
      <c r="I116" s="10" t="n">
        <f aca="false">INDEX(OD_LIST,MATCH(G116,TIPE_KODE,0))</f>
        <v>13.5</v>
      </c>
      <c r="J116" s="7" t="n">
        <f aca="false">I116*H116</f>
        <v>13.5</v>
      </c>
      <c r="K116" s="7" t="n">
        <f aca="false">PI()/4*I116^2*H116</f>
        <v>143.138815279185</v>
      </c>
    </row>
    <row r="117" customFormat="false" ht="15" hidden="false" customHeight="false" outlineLevel="0" collapsed="false">
      <c r="A117" s="5" t="n">
        <v>113</v>
      </c>
      <c r="B117" s="5" t="s">
        <v>77</v>
      </c>
      <c r="C117" s="5" t="s">
        <v>192</v>
      </c>
      <c r="D117" s="5" t="s">
        <v>85</v>
      </c>
      <c r="E117" s="9" t="n">
        <v>1.2</v>
      </c>
      <c r="F117" s="5" t="s">
        <v>86</v>
      </c>
      <c r="G117" s="5" t="s">
        <v>12</v>
      </c>
      <c r="H117" s="5" t="n">
        <v>1</v>
      </c>
      <c r="I117" s="10" t="n">
        <f aca="false">INDEX(OD_LIST,MATCH(G117,TIPE_KODE,0))</f>
        <v>13.5</v>
      </c>
      <c r="J117" s="7" t="n">
        <f aca="false">I117*H117</f>
        <v>13.5</v>
      </c>
      <c r="K117" s="7" t="n">
        <f aca="false">PI()/4*I117^2*H117</f>
        <v>143.138815279185</v>
      </c>
    </row>
    <row r="118" customFormat="false" ht="15" hidden="false" customHeight="false" outlineLevel="0" collapsed="false">
      <c r="A118" s="5" t="n">
        <v>114</v>
      </c>
      <c r="B118" s="5" t="s">
        <v>77</v>
      </c>
      <c r="C118" s="5" t="s">
        <v>193</v>
      </c>
      <c r="D118" s="5" t="s">
        <v>85</v>
      </c>
      <c r="E118" s="9" t="n">
        <v>2</v>
      </c>
      <c r="F118" s="5" t="s">
        <v>194</v>
      </c>
      <c r="G118" s="5" t="s">
        <v>14</v>
      </c>
      <c r="H118" s="5" t="n">
        <v>1</v>
      </c>
      <c r="I118" s="10" t="n">
        <f aca="false">INDEX(OD_LIST,MATCH(G118,TIPE_KODE,0))</f>
        <v>14.5</v>
      </c>
      <c r="J118" s="7" t="n">
        <f aca="false">I118*H118</f>
        <v>14.5</v>
      </c>
      <c r="K118" s="7" t="n">
        <f aca="false">PI()/4*I118^2*H118</f>
        <v>165.129963854314</v>
      </c>
    </row>
    <row r="119" customFormat="false" ht="15" hidden="false" customHeight="false" outlineLevel="0" collapsed="false">
      <c r="A119" s="5" t="n">
        <v>115</v>
      </c>
      <c r="B119" s="5" t="s">
        <v>77</v>
      </c>
      <c r="C119" s="5" t="s">
        <v>195</v>
      </c>
      <c r="D119" s="5" t="s">
        <v>85</v>
      </c>
      <c r="E119" s="9" t="n">
        <v>2</v>
      </c>
      <c r="F119" s="5" t="s">
        <v>86</v>
      </c>
      <c r="G119" s="5" t="s">
        <v>12</v>
      </c>
      <c r="H119" s="5" t="n">
        <v>1</v>
      </c>
      <c r="I119" s="10" t="n">
        <f aca="false">INDEX(OD_LIST,MATCH(G119,TIPE_KODE,0))</f>
        <v>13.5</v>
      </c>
      <c r="J119" s="7" t="n">
        <f aca="false">I119*H119</f>
        <v>13.5</v>
      </c>
      <c r="K119" s="7" t="n">
        <f aca="false">PI()/4*I119^2*H119</f>
        <v>143.138815279185</v>
      </c>
    </row>
    <row r="120" customFormat="false" ht="15" hidden="false" customHeight="false" outlineLevel="0" collapsed="false">
      <c r="A120" s="5" t="n">
        <v>116</v>
      </c>
      <c r="B120" s="5" t="s">
        <v>77</v>
      </c>
      <c r="C120" s="5" t="s">
        <v>196</v>
      </c>
      <c r="D120" s="5" t="s">
        <v>85</v>
      </c>
      <c r="E120" s="9" t="n">
        <v>2</v>
      </c>
      <c r="F120" s="5" t="s">
        <v>86</v>
      </c>
      <c r="G120" s="5" t="s">
        <v>12</v>
      </c>
      <c r="H120" s="5" t="n">
        <v>1</v>
      </c>
      <c r="I120" s="10" t="n">
        <f aca="false">INDEX(OD_LIST,MATCH(G120,TIPE_KODE,0))</f>
        <v>13.5</v>
      </c>
      <c r="J120" s="7" t="n">
        <f aca="false">I120*H120</f>
        <v>13.5</v>
      </c>
      <c r="K120" s="7" t="n">
        <f aca="false">PI()/4*I120^2*H120</f>
        <v>143.138815279185</v>
      </c>
    </row>
    <row r="121" customFormat="false" ht="15" hidden="false" customHeight="false" outlineLevel="0" collapsed="false">
      <c r="A121" s="5" t="n">
        <v>117</v>
      </c>
      <c r="B121" s="5" t="s">
        <v>197</v>
      </c>
      <c r="C121" s="5" t="s">
        <v>198</v>
      </c>
      <c r="D121" s="5" t="s">
        <v>85</v>
      </c>
      <c r="E121" s="9" t="n">
        <v>0.194</v>
      </c>
      <c r="F121" s="5" t="s">
        <v>86</v>
      </c>
      <c r="G121" s="5" t="s">
        <v>12</v>
      </c>
      <c r="H121" s="5" t="n">
        <v>1</v>
      </c>
      <c r="I121" s="10" t="n">
        <f aca="false">INDEX(OD_LIST,MATCH(G121,TIPE_KODE,0))</f>
        <v>13.5</v>
      </c>
      <c r="J121" s="7" t="n">
        <f aca="false">I121*H121</f>
        <v>13.5</v>
      </c>
      <c r="K121" s="7" t="n">
        <f aca="false">PI()/4*I121^2*H121</f>
        <v>143.138815279185</v>
      </c>
    </row>
    <row r="122" customFormat="false" ht="15" hidden="false" customHeight="false" outlineLevel="0" collapsed="false">
      <c r="A122" s="5" t="n">
        <v>118</v>
      </c>
      <c r="B122" s="5" t="s">
        <v>197</v>
      </c>
      <c r="C122" s="5" t="s">
        <v>199</v>
      </c>
      <c r="D122" s="5" t="s">
        <v>85</v>
      </c>
      <c r="E122" s="9" t="n">
        <v>0.096</v>
      </c>
      <c r="F122" s="5" t="s">
        <v>86</v>
      </c>
      <c r="G122" s="5" t="s">
        <v>12</v>
      </c>
      <c r="H122" s="5" t="n">
        <v>1</v>
      </c>
      <c r="I122" s="10" t="n">
        <f aca="false">INDEX(OD_LIST,MATCH(G122,TIPE_KODE,0))</f>
        <v>13.5</v>
      </c>
      <c r="J122" s="7" t="n">
        <f aca="false">I122*H122</f>
        <v>13.5</v>
      </c>
      <c r="K122" s="7" t="n">
        <f aca="false">PI()/4*I122^2*H122</f>
        <v>143.138815279185</v>
      </c>
    </row>
    <row r="123" customFormat="false" ht="15" hidden="false" customHeight="false" outlineLevel="0" collapsed="false">
      <c r="A123" s="5" t="n">
        <v>119</v>
      </c>
      <c r="B123" s="5" t="s">
        <v>197</v>
      </c>
      <c r="C123" s="5" t="s">
        <v>200</v>
      </c>
      <c r="D123" s="5" t="s">
        <v>85</v>
      </c>
      <c r="E123" s="9" t="n">
        <v>0.215</v>
      </c>
      <c r="F123" s="5" t="s">
        <v>86</v>
      </c>
      <c r="G123" s="5" t="s">
        <v>12</v>
      </c>
      <c r="H123" s="5" t="n">
        <v>1</v>
      </c>
      <c r="I123" s="10" t="n">
        <f aca="false">INDEX(OD_LIST,MATCH(G123,TIPE_KODE,0))</f>
        <v>13.5</v>
      </c>
      <c r="J123" s="7" t="n">
        <f aca="false">I123*H123</f>
        <v>13.5</v>
      </c>
      <c r="K123" s="7" t="n">
        <f aca="false">PI()/4*I123^2*H123</f>
        <v>143.138815279185</v>
      </c>
    </row>
    <row r="124" customFormat="false" ht="15" hidden="false" customHeight="false" outlineLevel="0" collapsed="false">
      <c r="A124" s="5" t="n">
        <v>120</v>
      </c>
      <c r="B124" s="5" t="s">
        <v>197</v>
      </c>
      <c r="C124" s="5" t="s">
        <v>201</v>
      </c>
      <c r="D124" s="5" t="s">
        <v>85</v>
      </c>
      <c r="E124" s="9" t="n">
        <v>0.029</v>
      </c>
      <c r="F124" s="5" t="s">
        <v>86</v>
      </c>
      <c r="G124" s="5" t="s">
        <v>12</v>
      </c>
      <c r="H124" s="5" t="n">
        <v>1</v>
      </c>
      <c r="I124" s="10" t="n">
        <f aca="false">INDEX(OD_LIST,MATCH(G124,TIPE_KODE,0))</f>
        <v>13.5</v>
      </c>
      <c r="J124" s="7" t="n">
        <f aca="false">I124*H124</f>
        <v>13.5</v>
      </c>
      <c r="K124" s="7" t="n">
        <f aca="false">PI()/4*I124^2*H124</f>
        <v>143.138815279185</v>
      </c>
    </row>
    <row r="125" customFormat="false" ht="15" hidden="false" customHeight="false" outlineLevel="0" collapsed="false">
      <c r="A125" s="5" t="n">
        <v>121</v>
      </c>
      <c r="B125" s="5" t="s">
        <v>197</v>
      </c>
      <c r="C125" s="5" t="s">
        <v>202</v>
      </c>
      <c r="D125" s="5" t="s">
        <v>85</v>
      </c>
      <c r="E125" s="9" t="n">
        <v>0.298</v>
      </c>
      <c r="F125" s="5" t="s">
        <v>86</v>
      </c>
      <c r="G125" s="5" t="s">
        <v>12</v>
      </c>
      <c r="H125" s="5" t="n">
        <v>1</v>
      </c>
      <c r="I125" s="10" t="n">
        <f aca="false">INDEX(OD_LIST,MATCH(G125,TIPE_KODE,0))</f>
        <v>13.5</v>
      </c>
      <c r="J125" s="7" t="n">
        <f aca="false">I125*H125</f>
        <v>13.5</v>
      </c>
      <c r="K125" s="7" t="n">
        <f aca="false">PI()/4*I125^2*H125</f>
        <v>143.138815279185</v>
      </c>
    </row>
    <row r="126" customFormat="false" ht="15" hidden="false" customHeight="false" outlineLevel="0" collapsed="false">
      <c r="A126" s="5" t="n">
        <v>122</v>
      </c>
      <c r="B126" s="5" t="s">
        <v>197</v>
      </c>
      <c r="C126" s="5" t="s">
        <v>203</v>
      </c>
      <c r="D126" s="5" t="s">
        <v>85</v>
      </c>
      <c r="E126" s="9" t="n">
        <v>0.029</v>
      </c>
      <c r="F126" s="5" t="s">
        <v>86</v>
      </c>
      <c r="G126" s="5" t="s">
        <v>12</v>
      </c>
      <c r="H126" s="5" t="n">
        <v>1</v>
      </c>
      <c r="I126" s="10" t="n">
        <f aca="false">INDEX(OD_LIST,MATCH(G126,TIPE_KODE,0))</f>
        <v>13.5</v>
      </c>
      <c r="J126" s="7" t="n">
        <f aca="false">I126*H126</f>
        <v>13.5</v>
      </c>
      <c r="K126" s="7" t="n">
        <f aca="false">PI()/4*I126^2*H126</f>
        <v>143.138815279185</v>
      </c>
    </row>
    <row r="127" customFormat="false" ht="15" hidden="false" customHeight="false" outlineLevel="0" collapsed="false">
      <c r="A127" s="5" t="n">
        <v>123</v>
      </c>
      <c r="B127" s="5" t="s">
        <v>197</v>
      </c>
      <c r="C127" s="5" t="s">
        <v>204</v>
      </c>
      <c r="D127" s="5" t="s">
        <v>85</v>
      </c>
      <c r="E127" s="9" t="n">
        <v>0.376</v>
      </c>
      <c r="F127" s="5" t="s">
        <v>86</v>
      </c>
      <c r="G127" s="5" t="s">
        <v>12</v>
      </c>
      <c r="H127" s="5" t="n">
        <v>1</v>
      </c>
      <c r="I127" s="10" t="n">
        <f aca="false">INDEX(OD_LIST,MATCH(G127,TIPE_KODE,0))</f>
        <v>13.5</v>
      </c>
      <c r="J127" s="7" t="n">
        <f aca="false">I127*H127</f>
        <v>13.5</v>
      </c>
      <c r="K127" s="7" t="n">
        <f aca="false">PI()/4*I127^2*H127</f>
        <v>143.138815279185</v>
      </c>
    </row>
    <row r="128" customFormat="false" ht="15" hidden="false" customHeight="false" outlineLevel="0" collapsed="false">
      <c r="A128" s="5" t="n">
        <v>124</v>
      </c>
      <c r="B128" s="5" t="s">
        <v>197</v>
      </c>
      <c r="C128" s="5" t="s">
        <v>205</v>
      </c>
      <c r="D128" s="5" t="s">
        <v>85</v>
      </c>
      <c r="E128" s="9" t="n">
        <v>0.096</v>
      </c>
      <c r="F128" s="5" t="s">
        <v>86</v>
      </c>
      <c r="G128" s="5" t="s">
        <v>12</v>
      </c>
      <c r="H128" s="5" t="n">
        <v>1</v>
      </c>
      <c r="I128" s="10" t="n">
        <f aca="false">INDEX(OD_LIST,MATCH(G128,TIPE_KODE,0))</f>
        <v>13.5</v>
      </c>
      <c r="J128" s="7" t="n">
        <f aca="false">I128*H128</f>
        <v>13.5</v>
      </c>
      <c r="K128" s="7" t="n">
        <f aca="false">PI()/4*I128^2*H128</f>
        <v>143.138815279185</v>
      </c>
    </row>
    <row r="129" customFormat="false" ht="15" hidden="false" customHeight="false" outlineLevel="0" collapsed="false">
      <c r="A129" s="5" t="n">
        <v>125</v>
      </c>
      <c r="B129" s="5" t="s">
        <v>197</v>
      </c>
      <c r="C129" s="5" t="s">
        <v>206</v>
      </c>
      <c r="D129" s="5" t="s">
        <v>85</v>
      </c>
      <c r="E129" s="9" t="n">
        <v>0.158</v>
      </c>
      <c r="F129" s="5" t="s">
        <v>86</v>
      </c>
      <c r="G129" s="5" t="s">
        <v>12</v>
      </c>
      <c r="H129" s="5" t="n">
        <v>1</v>
      </c>
      <c r="I129" s="10" t="n">
        <f aca="false">INDEX(OD_LIST,MATCH(G129,TIPE_KODE,0))</f>
        <v>13.5</v>
      </c>
      <c r="J129" s="7" t="n">
        <f aca="false">I129*H129</f>
        <v>13.5</v>
      </c>
      <c r="K129" s="7" t="n">
        <f aca="false">PI()/4*I129^2*H129</f>
        <v>143.138815279185</v>
      </c>
    </row>
    <row r="130" customFormat="false" ht="15" hidden="false" customHeight="false" outlineLevel="0" collapsed="false">
      <c r="A130" s="5" t="n">
        <v>126</v>
      </c>
      <c r="B130" s="5" t="s">
        <v>197</v>
      </c>
      <c r="C130" s="5" t="s">
        <v>207</v>
      </c>
      <c r="D130" s="5" t="s">
        <v>85</v>
      </c>
      <c r="E130" s="9" t="n">
        <v>0.036</v>
      </c>
      <c r="F130" s="5" t="s">
        <v>86</v>
      </c>
      <c r="G130" s="5" t="s">
        <v>12</v>
      </c>
      <c r="H130" s="5" t="n">
        <v>1</v>
      </c>
      <c r="I130" s="10" t="n">
        <f aca="false">INDEX(OD_LIST,MATCH(G130,TIPE_KODE,0))</f>
        <v>13.5</v>
      </c>
      <c r="J130" s="7" t="n">
        <f aca="false">I130*H130</f>
        <v>13.5</v>
      </c>
      <c r="K130" s="7" t="n">
        <f aca="false">PI()/4*I130^2*H130</f>
        <v>143.138815279185</v>
      </c>
    </row>
    <row r="131" customFormat="false" ht="15" hidden="false" customHeight="false" outlineLevel="0" collapsed="false">
      <c r="A131" s="5" t="n">
        <v>127</v>
      </c>
      <c r="B131" s="5" t="s">
        <v>197</v>
      </c>
      <c r="C131" s="5" t="s">
        <v>208</v>
      </c>
      <c r="D131" s="5" t="s">
        <v>85</v>
      </c>
      <c r="E131" s="9" t="n">
        <v>0.036</v>
      </c>
      <c r="F131" s="5" t="s">
        <v>86</v>
      </c>
      <c r="G131" s="5" t="s">
        <v>12</v>
      </c>
      <c r="H131" s="5" t="n">
        <v>1</v>
      </c>
      <c r="I131" s="10" t="n">
        <f aca="false">INDEX(OD_LIST,MATCH(G131,TIPE_KODE,0))</f>
        <v>13.5</v>
      </c>
      <c r="J131" s="7" t="n">
        <f aca="false">I131*H131</f>
        <v>13.5</v>
      </c>
      <c r="K131" s="7" t="n">
        <f aca="false">PI()/4*I131^2*H131</f>
        <v>143.138815279185</v>
      </c>
    </row>
    <row r="132" customFormat="false" ht="15" hidden="false" customHeight="false" outlineLevel="0" collapsed="false">
      <c r="A132" s="5" t="n">
        <v>128</v>
      </c>
      <c r="B132" s="5" t="s">
        <v>197</v>
      </c>
      <c r="C132" s="5" t="s">
        <v>209</v>
      </c>
      <c r="D132" s="5" t="s">
        <v>85</v>
      </c>
      <c r="E132" s="9" t="n">
        <v>0.036</v>
      </c>
      <c r="F132" s="5" t="s">
        <v>86</v>
      </c>
      <c r="G132" s="5" t="s">
        <v>12</v>
      </c>
      <c r="H132" s="5" t="n">
        <v>1</v>
      </c>
      <c r="I132" s="10" t="n">
        <f aca="false">INDEX(OD_LIST,MATCH(G132,TIPE_KODE,0))</f>
        <v>13.5</v>
      </c>
      <c r="J132" s="7" t="n">
        <f aca="false">I132*H132</f>
        <v>13.5</v>
      </c>
      <c r="K132" s="7" t="n">
        <f aca="false">PI()/4*I132^2*H132</f>
        <v>143.138815279185</v>
      </c>
    </row>
    <row r="133" customFormat="false" ht="15" hidden="false" customHeight="false" outlineLevel="0" collapsed="false">
      <c r="A133" s="5" t="n">
        <v>129</v>
      </c>
      <c r="B133" s="5" t="s">
        <v>197</v>
      </c>
      <c r="C133" s="5" t="s">
        <v>210</v>
      </c>
      <c r="D133" s="5" t="s">
        <v>85</v>
      </c>
      <c r="E133" s="9" t="n">
        <v>0.23</v>
      </c>
      <c r="F133" s="5" t="s">
        <v>86</v>
      </c>
      <c r="G133" s="5" t="s">
        <v>12</v>
      </c>
      <c r="H133" s="5" t="n">
        <v>1</v>
      </c>
      <c r="I133" s="10" t="n">
        <f aca="false">INDEX(OD_LIST,MATCH(G133,TIPE_KODE,0))</f>
        <v>13.5</v>
      </c>
      <c r="J133" s="7" t="n">
        <f aca="false">I133*H133</f>
        <v>13.5</v>
      </c>
      <c r="K133" s="7" t="n">
        <f aca="false">PI()/4*I133^2*H133</f>
        <v>143.138815279185</v>
      </c>
    </row>
    <row r="134" customFormat="false" ht="15" hidden="false" customHeight="false" outlineLevel="0" collapsed="false">
      <c r="A134" s="5" t="n">
        <v>130</v>
      </c>
      <c r="B134" s="5" t="s">
        <v>197</v>
      </c>
      <c r="C134" s="5" t="s">
        <v>211</v>
      </c>
      <c r="D134" s="5" t="s">
        <v>85</v>
      </c>
      <c r="E134" s="9" t="n">
        <v>0.036</v>
      </c>
      <c r="F134" s="5" t="s">
        <v>86</v>
      </c>
      <c r="G134" s="5" t="s">
        <v>12</v>
      </c>
      <c r="H134" s="5" t="n">
        <v>1</v>
      </c>
      <c r="I134" s="10" t="n">
        <f aca="false">INDEX(OD_LIST,MATCH(G134,TIPE_KODE,0))</f>
        <v>13.5</v>
      </c>
      <c r="J134" s="7" t="n">
        <f aca="false">I134*H134</f>
        <v>13.5</v>
      </c>
      <c r="K134" s="7" t="n">
        <f aca="false">PI()/4*I134^2*H134</f>
        <v>143.138815279185</v>
      </c>
    </row>
    <row r="135" customFormat="false" ht="15" hidden="false" customHeight="false" outlineLevel="0" collapsed="false">
      <c r="A135" s="5" t="n">
        <v>131</v>
      </c>
      <c r="B135" s="5" t="s">
        <v>197</v>
      </c>
      <c r="C135" s="5" t="s">
        <v>212</v>
      </c>
      <c r="D135" s="5" t="s">
        <v>85</v>
      </c>
      <c r="E135" s="9" t="n">
        <v>0.029</v>
      </c>
      <c r="F135" s="5" t="s">
        <v>86</v>
      </c>
      <c r="G135" s="5" t="s">
        <v>12</v>
      </c>
      <c r="H135" s="5" t="n">
        <v>1</v>
      </c>
      <c r="I135" s="10" t="n">
        <f aca="false">INDEX(OD_LIST,MATCH(G135,TIPE_KODE,0))</f>
        <v>13.5</v>
      </c>
      <c r="J135" s="7" t="n">
        <f aca="false">I135*H135</f>
        <v>13.5</v>
      </c>
      <c r="K135" s="7" t="n">
        <f aca="false">PI()/4*I135^2*H135</f>
        <v>143.138815279185</v>
      </c>
    </row>
    <row r="136" customFormat="false" ht="15" hidden="false" customHeight="false" outlineLevel="0" collapsed="false">
      <c r="A136" s="5" t="n">
        <v>132</v>
      </c>
      <c r="B136" s="5" t="s">
        <v>197</v>
      </c>
      <c r="C136" s="5" t="s">
        <v>213</v>
      </c>
      <c r="D136" s="5" t="s">
        <v>85</v>
      </c>
      <c r="E136" s="9" t="n">
        <v>24.3</v>
      </c>
      <c r="F136" s="5" t="s">
        <v>177</v>
      </c>
      <c r="G136" s="5" t="s">
        <v>26</v>
      </c>
      <c r="H136" s="5" t="n">
        <v>1</v>
      </c>
      <c r="I136" s="10" t="n">
        <f aca="false">INDEX(OD_LIST,MATCH(G136,TIPE_KODE,0))</f>
        <v>26</v>
      </c>
      <c r="J136" s="7" t="n">
        <f aca="false">I136*H136</f>
        <v>26</v>
      </c>
      <c r="K136" s="7" t="n">
        <f aca="false">PI()/4*I136^2*H136</f>
        <v>530.929158456675</v>
      </c>
    </row>
    <row r="137" customFormat="false" ht="15" hidden="false" customHeight="false" outlineLevel="0" collapsed="false">
      <c r="A137" s="5" t="n">
        <v>133</v>
      </c>
      <c r="B137" s="5" t="s">
        <v>197</v>
      </c>
      <c r="C137" s="5" t="s">
        <v>214</v>
      </c>
      <c r="D137" s="5" t="s">
        <v>85</v>
      </c>
      <c r="E137" s="9" t="n">
        <v>0.06</v>
      </c>
      <c r="F137" s="5" t="s">
        <v>86</v>
      </c>
      <c r="G137" s="5" t="s">
        <v>12</v>
      </c>
      <c r="H137" s="5" t="n">
        <v>1</v>
      </c>
      <c r="I137" s="10" t="n">
        <f aca="false">INDEX(OD_LIST,MATCH(G137,TIPE_KODE,0))</f>
        <v>13.5</v>
      </c>
      <c r="J137" s="7" t="n">
        <f aca="false">I137*H137</f>
        <v>13.5</v>
      </c>
      <c r="K137" s="7" t="n">
        <f aca="false">PI()/4*I137^2*H137</f>
        <v>143.138815279185</v>
      </c>
    </row>
    <row r="138" customFormat="false" ht="15" hidden="false" customHeight="false" outlineLevel="0" collapsed="false">
      <c r="A138" s="5" t="n">
        <v>134</v>
      </c>
      <c r="B138" s="5" t="s">
        <v>197</v>
      </c>
      <c r="C138" s="5" t="s">
        <v>215</v>
      </c>
      <c r="D138" s="5" t="s">
        <v>85</v>
      </c>
      <c r="E138" s="9" t="n">
        <v>0.084</v>
      </c>
      <c r="F138" s="5" t="s">
        <v>86</v>
      </c>
      <c r="G138" s="5" t="s">
        <v>12</v>
      </c>
      <c r="H138" s="5" t="n">
        <v>1</v>
      </c>
      <c r="I138" s="10" t="n">
        <f aca="false">INDEX(OD_LIST,MATCH(G138,TIPE_KODE,0))</f>
        <v>13.5</v>
      </c>
      <c r="J138" s="7" t="n">
        <f aca="false">I138*H138</f>
        <v>13.5</v>
      </c>
      <c r="K138" s="7" t="n">
        <f aca="false">PI()/4*I138^2*H138</f>
        <v>143.138815279185</v>
      </c>
    </row>
    <row r="139" customFormat="false" ht="15" hidden="false" customHeight="false" outlineLevel="0" collapsed="false">
      <c r="A139" s="5" t="n">
        <v>135</v>
      </c>
      <c r="B139" s="5" t="s">
        <v>197</v>
      </c>
      <c r="C139" s="5" t="s">
        <v>216</v>
      </c>
      <c r="D139" s="5" t="s">
        <v>85</v>
      </c>
      <c r="E139" s="9" t="n">
        <v>0.047</v>
      </c>
      <c r="F139" s="5" t="s">
        <v>86</v>
      </c>
      <c r="G139" s="5" t="s">
        <v>12</v>
      </c>
      <c r="H139" s="5" t="n">
        <v>1</v>
      </c>
      <c r="I139" s="10" t="n">
        <f aca="false">INDEX(OD_LIST,MATCH(G139,TIPE_KODE,0))</f>
        <v>13.5</v>
      </c>
      <c r="J139" s="7" t="n">
        <f aca="false">I139*H139</f>
        <v>13.5</v>
      </c>
      <c r="K139" s="7" t="n">
        <f aca="false">PI()/4*I139^2*H139</f>
        <v>143.138815279185</v>
      </c>
    </row>
    <row r="140" customFormat="false" ht="15" hidden="false" customHeight="false" outlineLevel="0" collapsed="false">
      <c r="A140" s="5" t="n">
        <v>136</v>
      </c>
      <c r="B140" s="5" t="s">
        <v>217</v>
      </c>
      <c r="C140" s="5" t="s">
        <v>78</v>
      </c>
      <c r="D140" s="5" t="s">
        <v>64</v>
      </c>
      <c r="E140" s="9" t="n">
        <v>579.16</v>
      </c>
      <c r="F140" s="5" t="s">
        <v>218</v>
      </c>
      <c r="G140" s="5" t="s">
        <v>34</v>
      </c>
      <c r="H140" s="5" t="n">
        <v>4</v>
      </c>
      <c r="I140" s="10" t="n">
        <f aca="false">INDEX(OD_LIST,MATCH(G140,TIPE_KODE,0))</f>
        <v>74</v>
      </c>
      <c r="J140" s="7" t="n">
        <f aca="false">I140*H140</f>
        <v>296</v>
      </c>
      <c r="K140" s="7" t="n">
        <f aca="false">PI()/4*I140^2*H140</f>
        <v>17203.3613710577</v>
      </c>
    </row>
    <row r="141" customFormat="false" ht="15" hidden="false" customHeight="false" outlineLevel="0" collapsed="false">
      <c r="A141" s="5" t="n">
        <v>137</v>
      </c>
      <c r="B141" s="5" t="s">
        <v>217</v>
      </c>
      <c r="C141" s="5" t="s">
        <v>80</v>
      </c>
      <c r="D141" s="5" t="s">
        <v>64</v>
      </c>
      <c r="E141" s="5"/>
      <c r="F141" s="5" t="s">
        <v>219</v>
      </c>
      <c r="G141" s="5" t="s">
        <v>42</v>
      </c>
      <c r="H141" s="5" t="n">
        <v>2</v>
      </c>
      <c r="I141" s="10" t="n">
        <f aca="false">INDEX(OD_LIST,MATCH(G141,TIPE_KODE,0))</f>
        <v>19.5</v>
      </c>
      <c r="J141" s="7" t="n">
        <f aca="false">I141*H141</f>
        <v>39</v>
      </c>
      <c r="K141" s="7" t="n">
        <f aca="false">PI()/4*I141^2*H141</f>
        <v>597.295303263759</v>
      </c>
    </row>
    <row r="142" customFormat="false" ht="15" hidden="false" customHeight="false" outlineLevel="0" collapsed="false">
      <c r="A142" s="5" t="n">
        <v>138</v>
      </c>
      <c r="B142" s="5" t="s">
        <v>217</v>
      </c>
      <c r="C142" s="5" t="s">
        <v>81</v>
      </c>
      <c r="D142" s="5" t="s">
        <v>82</v>
      </c>
      <c r="E142" s="5"/>
      <c r="F142" s="5" t="s">
        <v>83</v>
      </c>
      <c r="G142" s="5" t="s">
        <v>16</v>
      </c>
      <c r="H142" s="5" t="n">
        <v>1</v>
      </c>
      <c r="I142" s="10" t="n">
        <f aca="false">INDEX(OD_LIST,MATCH(G142,TIPE_KODE,0))</f>
        <v>11</v>
      </c>
      <c r="J142" s="7" t="n">
        <f aca="false">I142*H142</f>
        <v>11</v>
      </c>
      <c r="K142" s="7" t="n">
        <f aca="false">PI()/4*I142^2*H142</f>
        <v>95.0331777710913</v>
      </c>
    </row>
    <row r="143" customFormat="false" ht="15" hidden="false" customHeight="false" outlineLevel="0" collapsed="false">
      <c r="A143" s="5" t="n">
        <v>139</v>
      </c>
      <c r="B143" s="5" t="s">
        <v>217</v>
      </c>
      <c r="C143" s="5" t="s">
        <v>220</v>
      </c>
      <c r="D143" s="5" t="s">
        <v>85</v>
      </c>
      <c r="E143" s="9" t="n">
        <v>19.152</v>
      </c>
      <c r="F143" s="5" t="s">
        <v>221</v>
      </c>
      <c r="G143" s="5" t="s">
        <v>21</v>
      </c>
      <c r="H143" s="5" t="n">
        <v>1</v>
      </c>
      <c r="I143" s="10" t="n">
        <f aca="false">INDEX(OD_LIST,MATCH(G143,TIPE_KODE,0))</f>
        <v>21.5</v>
      </c>
      <c r="J143" s="7" t="n">
        <f aca="false">I143*H143</f>
        <v>21.5</v>
      </c>
      <c r="K143" s="7" t="n">
        <f aca="false">PI()/4*I143^2*H143</f>
        <v>363.05030103047</v>
      </c>
    </row>
    <row r="144" customFormat="false" ht="15" hidden="false" customHeight="false" outlineLevel="0" collapsed="false">
      <c r="A144" s="5" t="n">
        <v>140</v>
      </c>
      <c r="B144" s="5" t="s">
        <v>217</v>
      </c>
      <c r="C144" s="5" t="s">
        <v>222</v>
      </c>
      <c r="D144" s="5" t="s">
        <v>85</v>
      </c>
      <c r="E144" s="9" t="n">
        <v>19.152</v>
      </c>
      <c r="F144" s="5" t="s">
        <v>221</v>
      </c>
      <c r="G144" s="5" t="s">
        <v>21</v>
      </c>
      <c r="H144" s="5" t="n">
        <v>1</v>
      </c>
      <c r="I144" s="10" t="n">
        <f aca="false">INDEX(OD_LIST,MATCH(G144,TIPE_KODE,0))</f>
        <v>21.5</v>
      </c>
      <c r="J144" s="7" t="n">
        <f aca="false">I144*H144</f>
        <v>21.5</v>
      </c>
      <c r="K144" s="7" t="n">
        <f aca="false">PI()/4*I144^2*H144</f>
        <v>363.05030103047</v>
      </c>
    </row>
    <row r="145" customFormat="false" ht="15" hidden="false" customHeight="false" outlineLevel="0" collapsed="false">
      <c r="A145" s="5" t="n">
        <v>141</v>
      </c>
      <c r="B145" s="5" t="s">
        <v>217</v>
      </c>
      <c r="C145" s="5" t="s">
        <v>223</v>
      </c>
      <c r="D145" s="5" t="s">
        <v>85</v>
      </c>
      <c r="E145" s="9" t="n">
        <v>19.152</v>
      </c>
      <c r="F145" s="5" t="s">
        <v>221</v>
      </c>
      <c r="G145" s="5" t="s">
        <v>21</v>
      </c>
      <c r="H145" s="5" t="n">
        <v>1</v>
      </c>
      <c r="I145" s="10" t="n">
        <f aca="false">INDEX(OD_LIST,MATCH(G145,TIPE_KODE,0))</f>
        <v>21.5</v>
      </c>
      <c r="J145" s="7" t="n">
        <f aca="false">I145*H145</f>
        <v>21.5</v>
      </c>
      <c r="K145" s="7" t="n">
        <f aca="false">PI()/4*I145^2*H145</f>
        <v>363.05030103047</v>
      </c>
    </row>
    <row r="146" customFormat="false" ht="15" hidden="false" customHeight="false" outlineLevel="0" collapsed="false">
      <c r="A146" s="5" t="n">
        <v>142</v>
      </c>
      <c r="B146" s="5" t="s">
        <v>217</v>
      </c>
      <c r="C146" s="5" t="s">
        <v>224</v>
      </c>
      <c r="D146" s="5" t="s">
        <v>85</v>
      </c>
      <c r="E146" s="9" t="n">
        <v>19.152</v>
      </c>
      <c r="F146" s="5" t="s">
        <v>221</v>
      </c>
      <c r="G146" s="5" t="s">
        <v>21</v>
      </c>
      <c r="H146" s="5" t="n">
        <v>1</v>
      </c>
      <c r="I146" s="10" t="n">
        <f aca="false">INDEX(OD_LIST,MATCH(G146,TIPE_KODE,0))</f>
        <v>21.5</v>
      </c>
      <c r="J146" s="7" t="n">
        <f aca="false">I146*H146</f>
        <v>21.5</v>
      </c>
      <c r="K146" s="7" t="n">
        <f aca="false">PI()/4*I146^2*H146</f>
        <v>363.05030103047</v>
      </c>
    </row>
    <row r="147" customFormat="false" ht="15" hidden="false" customHeight="false" outlineLevel="0" collapsed="false">
      <c r="A147" s="5" t="n">
        <v>143</v>
      </c>
      <c r="B147" s="5" t="s">
        <v>217</v>
      </c>
      <c r="C147" s="5" t="s">
        <v>225</v>
      </c>
      <c r="D147" s="5" t="s">
        <v>85</v>
      </c>
      <c r="E147" s="9" t="n">
        <v>19.152</v>
      </c>
      <c r="F147" s="5" t="s">
        <v>221</v>
      </c>
      <c r="G147" s="5" t="s">
        <v>21</v>
      </c>
      <c r="H147" s="5" t="n">
        <v>1</v>
      </c>
      <c r="I147" s="10" t="n">
        <f aca="false">INDEX(OD_LIST,MATCH(G147,TIPE_KODE,0))</f>
        <v>21.5</v>
      </c>
      <c r="J147" s="7" t="n">
        <f aca="false">I147*H147</f>
        <v>21.5</v>
      </c>
      <c r="K147" s="7" t="n">
        <f aca="false">PI()/4*I147^2*H147</f>
        <v>363.05030103047</v>
      </c>
    </row>
    <row r="148" customFormat="false" ht="15" hidden="false" customHeight="false" outlineLevel="0" collapsed="false">
      <c r="A148" s="5" t="n">
        <v>144</v>
      </c>
      <c r="B148" s="5" t="s">
        <v>217</v>
      </c>
      <c r="C148" s="5" t="s">
        <v>226</v>
      </c>
      <c r="D148" s="5" t="s">
        <v>85</v>
      </c>
      <c r="E148" s="9" t="n">
        <v>19.152</v>
      </c>
      <c r="F148" s="5" t="s">
        <v>221</v>
      </c>
      <c r="G148" s="5" t="s">
        <v>21</v>
      </c>
      <c r="H148" s="5" t="n">
        <v>1</v>
      </c>
      <c r="I148" s="10" t="n">
        <f aca="false">INDEX(OD_LIST,MATCH(G148,TIPE_KODE,0))</f>
        <v>21.5</v>
      </c>
      <c r="J148" s="7" t="n">
        <f aca="false">I148*H148</f>
        <v>21.5</v>
      </c>
      <c r="K148" s="7" t="n">
        <f aca="false">PI()/4*I148^2*H148</f>
        <v>363.05030103047</v>
      </c>
    </row>
    <row r="149" customFormat="false" ht="15" hidden="false" customHeight="false" outlineLevel="0" collapsed="false">
      <c r="A149" s="5" t="n">
        <v>145</v>
      </c>
      <c r="B149" s="5" t="s">
        <v>217</v>
      </c>
      <c r="C149" s="5" t="s">
        <v>227</v>
      </c>
      <c r="D149" s="5" t="s">
        <v>85</v>
      </c>
      <c r="E149" s="9" t="n">
        <v>19.152</v>
      </c>
      <c r="F149" s="5" t="s">
        <v>221</v>
      </c>
      <c r="G149" s="5" t="s">
        <v>21</v>
      </c>
      <c r="H149" s="5" t="n">
        <v>1</v>
      </c>
      <c r="I149" s="10" t="n">
        <f aca="false">INDEX(OD_LIST,MATCH(G149,TIPE_KODE,0))</f>
        <v>21.5</v>
      </c>
      <c r="J149" s="7" t="n">
        <f aca="false">I149*H149</f>
        <v>21.5</v>
      </c>
      <c r="K149" s="7" t="n">
        <f aca="false">PI()/4*I149^2*H149</f>
        <v>363.05030103047</v>
      </c>
    </row>
    <row r="150" customFormat="false" ht="15" hidden="false" customHeight="false" outlineLevel="0" collapsed="false">
      <c r="A150" s="5" t="n">
        <v>146</v>
      </c>
      <c r="B150" s="5" t="s">
        <v>217</v>
      </c>
      <c r="C150" s="5" t="s">
        <v>228</v>
      </c>
      <c r="D150" s="5" t="s">
        <v>85</v>
      </c>
      <c r="E150" s="9" t="n">
        <v>19.152</v>
      </c>
      <c r="F150" s="5" t="s">
        <v>221</v>
      </c>
      <c r="G150" s="5" t="s">
        <v>21</v>
      </c>
      <c r="H150" s="5" t="n">
        <v>1</v>
      </c>
      <c r="I150" s="10" t="n">
        <f aca="false">INDEX(OD_LIST,MATCH(G150,TIPE_KODE,0))</f>
        <v>21.5</v>
      </c>
      <c r="J150" s="7" t="n">
        <f aca="false">I150*H150</f>
        <v>21.5</v>
      </c>
      <c r="K150" s="7" t="n">
        <f aca="false">PI()/4*I150^2*H150</f>
        <v>363.05030103047</v>
      </c>
    </row>
    <row r="151" customFormat="false" ht="15" hidden="false" customHeight="false" outlineLevel="0" collapsed="false">
      <c r="A151" s="5" t="n">
        <v>147</v>
      </c>
      <c r="B151" s="5" t="s">
        <v>217</v>
      </c>
      <c r="C151" s="5" t="s">
        <v>229</v>
      </c>
      <c r="D151" s="5" t="s">
        <v>85</v>
      </c>
      <c r="E151" s="9" t="n">
        <v>19.152</v>
      </c>
      <c r="F151" s="5" t="s">
        <v>230</v>
      </c>
      <c r="G151" s="5" t="s">
        <v>23</v>
      </c>
      <c r="H151" s="5" t="n">
        <v>1</v>
      </c>
      <c r="I151" s="10" t="n">
        <f aca="false">INDEX(OD_LIST,MATCH(G151,TIPE_KODE,0))</f>
        <v>23</v>
      </c>
      <c r="J151" s="7" t="n">
        <f aca="false">I151*H151</f>
        <v>23</v>
      </c>
      <c r="K151" s="7" t="n">
        <f aca="false">PI()/4*I151^2*H151</f>
        <v>415.47562843725</v>
      </c>
    </row>
    <row r="152" customFormat="false" ht="15" hidden="false" customHeight="false" outlineLevel="0" collapsed="false">
      <c r="A152" s="5" t="n">
        <v>148</v>
      </c>
      <c r="B152" s="5" t="s">
        <v>217</v>
      </c>
      <c r="C152" s="5" t="s">
        <v>231</v>
      </c>
      <c r="D152" s="5" t="s">
        <v>85</v>
      </c>
      <c r="E152" s="9" t="n">
        <v>19.152</v>
      </c>
      <c r="F152" s="5" t="s">
        <v>230</v>
      </c>
      <c r="G152" s="5" t="s">
        <v>23</v>
      </c>
      <c r="H152" s="5" t="n">
        <v>1</v>
      </c>
      <c r="I152" s="10" t="n">
        <f aca="false">INDEX(OD_LIST,MATCH(G152,TIPE_KODE,0))</f>
        <v>23</v>
      </c>
      <c r="J152" s="7" t="n">
        <f aca="false">I152*H152</f>
        <v>23</v>
      </c>
      <c r="K152" s="7" t="n">
        <f aca="false">PI()/4*I152^2*H152</f>
        <v>415.47562843725</v>
      </c>
    </row>
    <row r="153" customFormat="false" ht="15" hidden="false" customHeight="false" outlineLevel="0" collapsed="false">
      <c r="A153" s="5" t="n">
        <v>149</v>
      </c>
      <c r="B153" s="5" t="s">
        <v>217</v>
      </c>
      <c r="C153" s="5" t="s">
        <v>232</v>
      </c>
      <c r="D153" s="5" t="s">
        <v>85</v>
      </c>
      <c r="E153" s="9" t="n">
        <v>19.152</v>
      </c>
      <c r="F153" s="5" t="s">
        <v>230</v>
      </c>
      <c r="G153" s="5" t="s">
        <v>23</v>
      </c>
      <c r="H153" s="5" t="n">
        <v>1</v>
      </c>
      <c r="I153" s="10" t="n">
        <f aca="false">INDEX(OD_LIST,MATCH(G153,TIPE_KODE,0))</f>
        <v>23</v>
      </c>
      <c r="J153" s="7" t="n">
        <f aca="false">I153*H153</f>
        <v>23</v>
      </c>
      <c r="K153" s="7" t="n">
        <f aca="false">PI()/4*I153^2*H153</f>
        <v>415.47562843725</v>
      </c>
    </row>
    <row r="154" customFormat="false" ht="15" hidden="false" customHeight="false" outlineLevel="0" collapsed="false">
      <c r="A154" s="5" t="n">
        <v>150</v>
      </c>
      <c r="B154" s="5" t="s">
        <v>217</v>
      </c>
      <c r="C154" s="5" t="s">
        <v>233</v>
      </c>
      <c r="D154" s="5" t="s">
        <v>85</v>
      </c>
      <c r="E154" s="9" t="n">
        <v>19.152</v>
      </c>
      <c r="F154" s="5" t="s">
        <v>230</v>
      </c>
      <c r="G154" s="5" t="s">
        <v>23</v>
      </c>
      <c r="H154" s="5" t="n">
        <v>1</v>
      </c>
      <c r="I154" s="10" t="n">
        <f aca="false">INDEX(OD_LIST,MATCH(G154,TIPE_KODE,0))</f>
        <v>23</v>
      </c>
      <c r="J154" s="7" t="n">
        <f aca="false">I154*H154</f>
        <v>23</v>
      </c>
      <c r="K154" s="7" t="n">
        <f aca="false">PI()/4*I154^2*H154</f>
        <v>415.47562843725</v>
      </c>
    </row>
    <row r="155" customFormat="false" ht="15" hidden="false" customHeight="false" outlineLevel="0" collapsed="false">
      <c r="A155" s="5" t="n">
        <v>151</v>
      </c>
      <c r="B155" s="5" t="s">
        <v>217</v>
      </c>
      <c r="C155" s="5" t="s">
        <v>234</v>
      </c>
      <c r="D155" s="5" t="s">
        <v>85</v>
      </c>
      <c r="E155" s="9" t="n">
        <v>19.152</v>
      </c>
      <c r="F155" s="5" t="s">
        <v>230</v>
      </c>
      <c r="G155" s="5" t="s">
        <v>23</v>
      </c>
      <c r="H155" s="5" t="n">
        <v>1</v>
      </c>
      <c r="I155" s="10" t="n">
        <f aca="false">INDEX(OD_LIST,MATCH(G155,TIPE_KODE,0))</f>
        <v>23</v>
      </c>
      <c r="J155" s="7" t="n">
        <f aca="false">I155*H155</f>
        <v>23</v>
      </c>
      <c r="K155" s="7" t="n">
        <f aca="false">PI()/4*I155^2*H155</f>
        <v>415.47562843725</v>
      </c>
    </row>
    <row r="156" customFormat="false" ht="15" hidden="false" customHeight="false" outlineLevel="0" collapsed="false">
      <c r="A156" s="5" t="n">
        <v>152</v>
      </c>
      <c r="B156" s="5" t="s">
        <v>217</v>
      </c>
      <c r="C156" s="5" t="s">
        <v>235</v>
      </c>
      <c r="D156" s="5" t="s">
        <v>85</v>
      </c>
      <c r="E156" s="9" t="n">
        <v>19.152</v>
      </c>
      <c r="F156" s="5" t="s">
        <v>230</v>
      </c>
      <c r="G156" s="5" t="s">
        <v>23</v>
      </c>
      <c r="H156" s="5" t="n">
        <v>1</v>
      </c>
      <c r="I156" s="10" t="n">
        <f aca="false">INDEX(OD_LIST,MATCH(G156,TIPE_KODE,0))</f>
        <v>23</v>
      </c>
      <c r="J156" s="7" t="n">
        <f aca="false">I156*H156</f>
        <v>23</v>
      </c>
      <c r="K156" s="7" t="n">
        <f aca="false">PI()/4*I156^2*H156</f>
        <v>415.47562843725</v>
      </c>
    </row>
    <row r="157" customFormat="false" ht="15" hidden="false" customHeight="false" outlineLevel="0" collapsed="false">
      <c r="A157" s="5" t="n">
        <v>153</v>
      </c>
      <c r="B157" s="5" t="s">
        <v>217</v>
      </c>
      <c r="C157" s="5" t="s">
        <v>236</v>
      </c>
      <c r="D157" s="5" t="s">
        <v>85</v>
      </c>
      <c r="E157" s="9" t="n">
        <v>19.152</v>
      </c>
      <c r="F157" s="5" t="s">
        <v>230</v>
      </c>
      <c r="G157" s="5" t="s">
        <v>23</v>
      </c>
      <c r="H157" s="5" t="n">
        <v>1</v>
      </c>
      <c r="I157" s="10" t="n">
        <f aca="false">INDEX(OD_LIST,MATCH(G157,TIPE_KODE,0))</f>
        <v>23</v>
      </c>
      <c r="J157" s="7" t="n">
        <f aca="false">I157*H157</f>
        <v>23</v>
      </c>
      <c r="K157" s="7" t="n">
        <f aca="false">PI()/4*I157^2*H157</f>
        <v>415.47562843725</v>
      </c>
    </row>
    <row r="158" customFormat="false" ht="15" hidden="false" customHeight="false" outlineLevel="0" collapsed="false">
      <c r="A158" s="5" t="n">
        <v>154</v>
      </c>
      <c r="B158" s="5" t="s">
        <v>217</v>
      </c>
      <c r="C158" s="5" t="s">
        <v>237</v>
      </c>
      <c r="D158" s="5" t="s">
        <v>85</v>
      </c>
      <c r="E158" s="9" t="n">
        <v>19.152</v>
      </c>
      <c r="F158" s="5" t="s">
        <v>230</v>
      </c>
      <c r="G158" s="5" t="s">
        <v>23</v>
      </c>
      <c r="H158" s="5" t="n">
        <v>1</v>
      </c>
      <c r="I158" s="10" t="n">
        <f aca="false">INDEX(OD_LIST,MATCH(G158,TIPE_KODE,0))</f>
        <v>23</v>
      </c>
      <c r="J158" s="7" t="n">
        <f aca="false">I158*H158</f>
        <v>23</v>
      </c>
      <c r="K158" s="7" t="n">
        <f aca="false">PI()/4*I158^2*H158</f>
        <v>415.47562843725</v>
      </c>
    </row>
    <row r="159" customFormat="false" ht="15" hidden="false" customHeight="false" outlineLevel="0" collapsed="false">
      <c r="A159" s="5" t="n">
        <v>155</v>
      </c>
      <c r="B159" s="5" t="s">
        <v>217</v>
      </c>
      <c r="C159" s="5" t="s">
        <v>238</v>
      </c>
      <c r="D159" s="5" t="s">
        <v>85</v>
      </c>
      <c r="E159" s="9" t="n">
        <v>19.152</v>
      </c>
      <c r="F159" s="5" t="s">
        <v>230</v>
      </c>
      <c r="G159" s="5" t="s">
        <v>23</v>
      </c>
      <c r="H159" s="5" t="n">
        <v>1</v>
      </c>
      <c r="I159" s="10" t="n">
        <f aca="false">INDEX(OD_LIST,MATCH(G159,TIPE_KODE,0))</f>
        <v>23</v>
      </c>
      <c r="J159" s="7" t="n">
        <f aca="false">I159*H159</f>
        <v>23</v>
      </c>
      <c r="K159" s="7" t="n">
        <f aca="false">PI()/4*I159^2*H159</f>
        <v>415.47562843725</v>
      </c>
    </row>
    <row r="160" customFormat="false" ht="15" hidden="false" customHeight="false" outlineLevel="0" collapsed="false">
      <c r="A160" s="5" t="n">
        <v>156</v>
      </c>
      <c r="B160" s="5" t="s">
        <v>217</v>
      </c>
      <c r="C160" s="5" t="s">
        <v>239</v>
      </c>
      <c r="D160" s="5" t="s">
        <v>85</v>
      </c>
      <c r="E160" s="9" t="n">
        <v>19.152</v>
      </c>
      <c r="F160" s="5" t="s">
        <v>230</v>
      </c>
      <c r="G160" s="5" t="s">
        <v>23</v>
      </c>
      <c r="H160" s="5" t="n">
        <v>1</v>
      </c>
      <c r="I160" s="10" t="n">
        <f aca="false">INDEX(OD_LIST,MATCH(G160,TIPE_KODE,0))</f>
        <v>23</v>
      </c>
      <c r="J160" s="7" t="n">
        <f aca="false">I160*H160</f>
        <v>23</v>
      </c>
      <c r="K160" s="7" t="n">
        <f aca="false">PI()/4*I160^2*H160</f>
        <v>415.47562843725</v>
      </c>
    </row>
    <row r="161" customFormat="false" ht="15" hidden="false" customHeight="false" outlineLevel="0" collapsed="false">
      <c r="A161" s="5" t="n">
        <v>157</v>
      </c>
      <c r="B161" s="5" t="s">
        <v>217</v>
      </c>
      <c r="C161" s="5" t="s">
        <v>240</v>
      </c>
      <c r="D161" s="5" t="s">
        <v>85</v>
      </c>
      <c r="E161" s="9" t="n">
        <v>19.152</v>
      </c>
      <c r="F161" s="5" t="s">
        <v>230</v>
      </c>
      <c r="G161" s="5" t="s">
        <v>23</v>
      </c>
      <c r="H161" s="5" t="n">
        <v>1</v>
      </c>
      <c r="I161" s="10" t="n">
        <f aca="false">INDEX(OD_LIST,MATCH(G161,TIPE_KODE,0))</f>
        <v>23</v>
      </c>
      <c r="J161" s="7" t="n">
        <f aca="false">I161*H161</f>
        <v>23</v>
      </c>
      <c r="K161" s="7" t="n">
        <f aca="false">PI()/4*I161^2*H161</f>
        <v>415.47562843725</v>
      </c>
    </row>
    <row r="162" customFormat="false" ht="15" hidden="false" customHeight="false" outlineLevel="0" collapsed="false">
      <c r="A162" s="5" t="n">
        <v>158</v>
      </c>
      <c r="B162" s="5" t="s">
        <v>217</v>
      </c>
      <c r="C162" s="5" t="s">
        <v>241</v>
      </c>
      <c r="D162" s="5" t="s">
        <v>85</v>
      </c>
      <c r="E162" s="9" t="n">
        <v>19.152</v>
      </c>
      <c r="F162" s="5" t="s">
        <v>230</v>
      </c>
      <c r="G162" s="5" t="s">
        <v>23</v>
      </c>
      <c r="H162" s="5" t="n">
        <v>1</v>
      </c>
      <c r="I162" s="10" t="n">
        <f aca="false">INDEX(OD_LIST,MATCH(G162,TIPE_KODE,0))</f>
        <v>23</v>
      </c>
      <c r="J162" s="7" t="n">
        <f aca="false">I162*H162</f>
        <v>23</v>
      </c>
      <c r="K162" s="7" t="n">
        <f aca="false">PI()/4*I162^2*H162</f>
        <v>415.47562843725</v>
      </c>
    </row>
    <row r="163" customFormat="false" ht="15" hidden="false" customHeight="false" outlineLevel="0" collapsed="false">
      <c r="A163" s="5" t="n">
        <v>159</v>
      </c>
      <c r="B163" s="5" t="s">
        <v>217</v>
      </c>
      <c r="C163" s="5" t="s">
        <v>242</v>
      </c>
      <c r="D163" s="5" t="s">
        <v>85</v>
      </c>
      <c r="E163" s="9" t="n">
        <v>19.152</v>
      </c>
      <c r="F163" s="5" t="s">
        <v>230</v>
      </c>
      <c r="G163" s="5" t="s">
        <v>23</v>
      </c>
      <c r="H163" s="5" t="n">
        <v>1</v>
      </c>
      <c r="I163" s="10" t="n">
        <f aca="false">INDEX(OD_LIST,MATCH(G163,TIPE_KODE,0))</f>
        <v>23</v>
      </c>
      <c r="J163" s="7" t="n">
        <f aca="false">I163*H163</f>
        <v>23</v>
      </c>
      <c r="K163" s="7" t="n">
        <f aca="false">PI()/4*I163^2*H163</f>
        <v>415.47562843725</v>
      </c>
    </row>
    <row r="164" customFormat="false" ht="15" hidden="false" customHeight="false" outlineLevel="0" collapsed="false">
      <c r="A164" s="5" t="n">
        <v>160</v>
      </c>
      <c r="B164" s="5" t="s">
        <v>217</v>
      </c>
      <c r="C164" s="5" t="s">
        <v>243</v>
      </c>
      <c r="D164" s="5" t="s">
        <v>85</v>
      </c>
      <c r="E164" s="9" t="n">
        <v>19.152</v>
      </c>
      <c r="F164" s="5" t="s">
        <v>230</v>
      </c>
      <c r="G164" s="5" t="s">
        <v>23</v>
      </c>
      <c r="H164" s="5" t="n">
        <v>1</v>
      </c>
      <c r="I164" s="10" t="n">
        <f aca="false">INDEX(OD_LIST,MATCH(G164,TIPE_KODE,0))</f>
        <v>23</v>
      </c>
      <c r="J164" s="7" t="n">
        <f aca="false">I164*H164</f>
        <v>23</v>
      </c>
      <c r="K164" s="7" t="n">
        <f aca="false">PI()/4*I164^2*H164</f>
        <v>415.47562843725</v>
      </c>
    </row>
    <row r="165" customFormat="false" ht="15" hidden="false" customHeight="false" outlineLevel="0" collapsed="false">
      <c r="A165" s="5" t="n">
        <v>161</v>
      </c>
      <c r="B165" s="5" t="s">
        <v>217</v>
      </c>
      <c r="C165" s="5" t="s">
        <v>244</v>
      </c>
      <c r="D165" s="5" t="s">
        <v>85</v>
      </c>
      <c r="E165" s="9" t="n">
        <v>19.152</v>
      </c>
      <c r="F165" s="5" t="s">
        <v>230</v>
      </c>
      <c r="G165" s="5" t="s">
        <v>23</v>
      </c>
      <c r="H165" s="5" t="n">
        <v>1</v>
      </c>
      <c r="I165" s="10" t="n">
        <f aca="false">INDEX(OD_LIST,MATCH(G165,TIPE_KODE,0))</f>
        <v>23</v>
      </c>
      <c r="J165" s="7" t="n">
        <f aca="false">I165*H165</f>
        <v>23</v>
      </c>
      <c r="K165" s="7" t="n">
        <f aca="false">PI()/4*I165^2*H165</f>
        <v>415.47562843725</v>
      </c>
    </row>
    <row r="166" customFormat="false" ht="15" hidden="false" customHeight="false" outlineLevel="0" collapsed="false">
      <c r="A166" s="5" t="n">
        <v>162</v>
      </c>
      <c r="B166" s="5" t="s">
        <v>217</v>
      </c>
      <c r="C166" s="5" t="s">
        <v>245</v>
      </c>
      <c r="D166" s="5" t="s">
        <v>85</v>
      </c>
      <c r="E166" s="9" t="n">
        <v>19.152</v>
      </c>
      <c r="F166" s="5" t="s">
        <v>230</v>
      </c>
      <c r="G166" s="5" t="s">
        <v>23</v>
      </c>
      <c r="H166" s="5" t="n">
        <v>1</v>
      </c>
      <c r="I166" s="10" t="n">
        <f aca="false">INDEX(OD_LIST,MATCH(G166,TIPE_KODE,0))</f>
        <v>23</v>
      </c>
      <c r="J166" s="7" t="n">
        <f aca="false">I166*H166</f>
        <v>23</v>
      </c>
      <c r="K166" s="7" t="n">
        <f aca="false">PI()/4*I166^2*H166</f>
        <v>415.47562843725</v>
      </c>
    </row>
    <row r="167" customFormat="false" ht="15" hidden="false" customHeight="false" outlineLevel="0" collapsed="false">
      <c r="A167" s="5" t="n">
        <v>163</v>
      </c>
      <c r="B167" s="5" t="s">
        <v>217</v>
      </c>
      <c r="C167" s="5" t="s">
        <v>246</v>
      </c>
      <c r="D167" s="5" t="s">
        <v>85</v>
      </c>
      <c r="E167" s="9" t="n">
        <v>19.152</v>
      </c>
      <c r="F167" s="5" t="s">
        <v>230</v>
      </c>
      <c r="G167" s="5" t="s">
        <v>23</v>
      </c>
      <c r="H167" s="5" t="n">
        <v>1</v>
      </c>
      <c r="I167" s="10" t="n">
        <f aca="false">INDEX(OD_LIST,MATCH(G167,TIPE_KODE,0))</f>
        <v>23</v>
      </c>
      <c r="J167" s="7" t="n">
        <f aca="false">I167*H167</f>
        <v>23</v>
      </c>
      <c r="K167" s="7" t="n">
        <f aca="false">PI()/4*I167^2*H167</f>
        <v>415.47562843725</v>
      </c>
    </row>
    <row r="168" customFormat="false" ht="15" hidden="false" customHeight="false" outlineLevel="0" collapsed="false">
      <c r="A168" s="5" t="n">
        <v>164</v>
      </c>
      <c r="B168" s="5" t="s">
        <v>217</v>
      </c>
      <c r="C168" s="5" t="s">
        <v>247</v>
      </c>
      <c r="D168" s="5" t="s">
        <v>85</v>
      </c>
      <c r="E168" s="9" t="n">
        <v>19.152</v>
      </c>
      <c r="F168" s="5" t="s">
        <v>230</v>
      </c>
      <c r="G168" s="5" t="s">
        <v>23</v>
      </c>
      <c r="H168" s="5" t="n">
        <v>1</v>
      </c>
      <c r="I168" s="10" t="n">
        <f aca="false">INDEX(OD_LIST,MATCH(G168,TIPE_KODE,0))</f>
        <v>23</v>
      </c>
      <c r="J168" s="7" t="n">
        <f aca="false">I168*H168</f>
        <v>23</v>
      </c>
      <c r="K168" s="7" t="n">
        <f aca="false">PI()/4*I168^2*H168</f>
        <v>415.47562843725</v>
      </c>
    </row>
    <row r="169" customFormat="false" ht="15" hidden="false" customHeight="false" outlineLevel="0" collapsed="false">
      <c r="A169" s="5" t="n">
        <v>165</v>
      </c>
      <c r="B169" s="5" t="s">
        <v>217</v>
      </c>
      <c r="C169" s="5" t="s">
        <v>248</v>
      </c>
      <c r="D169" s="5" t="s">
        <v>85</v>
      </c>
      <c r="E169" s="9" t="n">
        <v>19.152</v>
      </c>
      <c r="F169" s="5" t="s">
        <v>230</v>
      </c>
      <c r="G169" s="5" t="s">
        <v>23</v>
      </c>
      <c r="H169" s="5" t="n">
        <v>1</v>
      </c>
      <c r="I169" s="10" t="n">
        <f aca="false">INDEX(OD_LIST,MATCH(G169,TIPE_KODE,0))</f>
        <v>23</v>
      </c>
      <c r="J169" s="7" t="n">
        <f aca="false">I169*H169</f>
        <v>23</v>
      </c>
      <c r="K169" s="7" t="n">
        <f aca="false">PI()/4*I169^2*H169</f>
        <v>415.47562843725</v>
      </c>
    </row>
    <row r="170" customFormat="false" ht="15" hidden="false" customHeight="false" outlineLevel="0" collapsed="false">
      <c r="A170" s="5" t="n">
        <v>166</v>
      </c>
      <c r="B170" s="5" t="s">
        <v>217</v>
      </c>
      <c r="C170" s="5" t="s">
        <v>249</v>
      </c>
      <c r="D170" s="5" t="s">
        <v>85</v>
      </c>
      <c r="E170" s="9" t="n">
        <v>19.152</v>
      </c>
      <c r="F170" s="5" t="s">
        <v>230</v>
      </c>
      <c r="G170" s="5" t="s">
        <v>23</v>
      </c>
      <c r="H170" s="5" t="n">
        <v>1</v>
      </c>
      <c r="I170" s="10" t="n">
        <f aca="false">INDEX(OD_LIST,MATCH(G170,TIPE_KODE,0))</f>
        <v>23</v>
      </c>
      <c r="J170" s="7" t="n">
        <f aca="false">I170*H170</f>
        <v>23</v>
      </c>
      <c r="K170" s="7" t="n">
        <f aca="false">PI()/4*I170^2*H170</f>
        <v>415.47562843725</v>
      </c>
    </row>
    <row r="171" customFormat="false" ht="15" hidden="false" customHeight="false" outlineLevel="0" collapsed="false">
      <c r="A171" s="11" t="s">
        <v>250</v>
      </c>
      <c r="B171" s="11"/>
      <c r="C171" s="11"/>
      <c r="D171" s="11"/>
      <c r="E171" s="12" t="n">
        <f aca="false">SUM(E5:E170)</f>
        <v>1805.353</v>
      </c>
      <c r="F171" s="11"/>
      <c r="G171" s="11"/>
      <c r="H171" s="13" t="n">
        <f aca="false">SUM(H5:H170)</f>
        <v>187</v>
      </c>
      <c r="I171" s="11"/>
      <c r="J171" s="14" t="n">
        <f aca="false">SUM(J5:J170)</f>
        <v>3379</v>
      </c>
      <c r="K171" s="14" t="n">
        <f aca="false">SUM(K5:K170)</f>
        <v>62817.7159048547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2" t="s">
        <v>252</v>
      </c>
    </row>
    <row r="4" customFormat="false" ht="23.85" hidden="false" customHeight="false" outlineLevel="0" collapsed="false">
      <c r="A4" s="15" t="s">
        <v>3</v>
      </c>
      <c r="B4" s="15" t="s">
        <v>253</v>
      </c>
      <c r="C4" s="15" t="s">
        <v>59</v>
      </c>
      <c r="D4" s="15" t="s">
        <v>6</v>
      </c>
      <c r="E4" s="15" t="s">
        <v>60</v>
      </c>
      <c r="F4" s="15" t="s">
        <v>61</v>
      </c>
      <c r="G4" s="15" t="s">
        <v>254</v>
      </c>
    </row>
    <row r="5" customFormat="false" ht="15" hidden="false" customHeight="false" outlineLevel="0" collapsed="false">
      <c r="A5" s="5" t="n">
        <v>1</v>
      </c>
      <c r="B5" s="5" t="s">
        <v>40</v>
      </c>
      <c r="C5" s="16" t="n">
        <f aca="false">SUMIF('CABLE SCHEDULE'!$G$5:$G$170,B5,'CABLE SCHEDULE'!$H$5:$H$170)</f>
        <v>1</v>
      </c>
      <c r="D5" s="10" t="n">
        <f aca="false">INDEX(OD_LIST,MATCH(B5,TIPE_KODE,0))</f>
        <v>18.5</v>
      </c>
      <c r="E5" s="17" t="n">
        <f aca="false">SUMIF('CABLE SCHEDULE'!$G$5:$G$170,B5,'CABLE SCHEDULE'!$J$5:$J$170)</f>
        <v>18.5</v>
      </c>
      <c r="F5" s="17" t="n">
        <f aca="false">SUMIF('CABLE SCHEDULE'!$G$5:$G$170,B5,'CABLE SCHEDULE'!$K$5:$K$170)</f>
        <v>268.802521422777</v>
      </c>
      <c r="G5" s="18" t="n">
        <f aca="false">IF($E$21=0,0,E5/$E$21)</f>
        <v>0.00547499260136135</v>
      </c>
    </row>
    <row r="6" customFormat="false" ht="15" hidden="false" customHeight="false" outlineLevel="0" collapsed="false">
      <c r="A6" s="5" t="n">
        <v>2</v>
      </c>
      <c r="B6" s="5" t="s">
        <v>42</v>
      </c>
      <c r="C6" s="16" t="n">
        <f aca="false">SUMIF('CABLE SCHEDULE'!$G$5:$G$170,B6,'CABLE SCHEDULE'!$H$5:$H$170)</f>
        <v>2</v>
      </c>
      <c r="D6" s="10" t="n">
        <f aca="false">INDEX(OD_LIST,MATCH(B6,TIPE_KODE,0))</f>
        <v>19.5</v>
      </c>
      <c r="E6" s="17" t="n">
        <f aca="false">SUMIF('CABLE SCHEDULE'!$G$5:$G$170,B6,'CABLE SCHEDULE'!$J$5:$J$170)</f>
        <v>39</v>
      </c>
      <c r="F6" s="17" t="n">
        <f aca="false">SUMIF('CABLE SCHEDULE'!$G$5:$G$170,B6,'CABLE SCHEDULE'!$K$5:$K$170)</f>
        <v>597.295303263759</v>
      </c>
      <c r="G6" s="18" t="n">
        <f aca="false">IF($E$21=0,0,E6/$E$21)</f>
        <v>0.0115418762947618</v>
      </c>
    </row>
    <row r="7" customFormat="false" ht="15" hidden="false" customHeight="false" outlineLevel="0" collapsed="false">
      <c r="A7" s="5" t="n">
        <v>3</v>
      </c>
      <c r="B7" s="5" t="s">
        <v>37</v>
      </c>
      <c r="C7" s="16" t="n">
        <f aca="false">SUMIF('CABLE SCHEDULE'!$G$5:$G$170,B7,'CABLE SCHEDULE'!$H$5:$H$170)</f>
        <v>2</v>
      </c>
      <c r="D7" s="10" t="n">
        <f aca="false">INDEX(OD_LIST,MATCH(B7,TIPE_KODE,0))</f>
        <v>8</v>
      </c>
      <c r="E7" s="17" t="n">
        <f aca="false">SUMIF('CABLE SCHEDULE'!$G$5:$G$170,B7,'CABLE SCHEDULE'!$J$5:$J$170)</f>
        <v>16</v>
      </c>
      <c r="F7" s="17" t="n">
        <f aca="false">SUMIF('CABLE SCHEDULE'!$G$5:$G$170,B7,'CABLE SCHEDULE'!$K$5:$K$170)</f>
        <v>100.530964914873</v>
      </c>
      <c r="G7" s="18" t="n">
        <f aca="false">IF($E$21=0,0,E7/$E$21)</f>
        <v>0.00473512873631252</v>
      </c>
    </row>
    <row r="8" customFormat="false" ht="15" hidden="false" customHeight="false" outlineLevel="0" collapsed="false">
      <c r="A8" s="5" t="n">
        <v>4</v>
      </c>
      <c r="B8" s="5" t="s">
        <v>45</v>
      </c>
      <c r="C8" s="16" t="n">
        <f aca="false">SUMIF('CABLE SCHEDULE'!$G$5:$G$170,B8,'CABLE SCHEDULE'!$H$5:$H$170)</f>
        <v>18</v>
      </c>
      <c r="D8" s="10" t="n">
        <f aca="false">INDEX(OD_LIST,MATCH(B8,TIPE_KODE,0))</f>
        <v>24.5</v>
      </c>
      <c r="E8" s="17" t="n">
        <f aca="false">SUMIF('CABLE SCHEDULE'!$G$5:$G$170,B8,'CABLE SCHEDULE'!$J$5:$J$170)</f>
        <v>441</v>
      </c>
      <c r="F8" s="17" t="n">
        <f aca="false">SUMIF('CABLE SCHEDULE'!$G$5:$G$170,B8,'CABLE SCHEDULE'!$K$5:$K$170)</f>
        <v>8485.83445642773</v>
      </c>
      <c r="G8" s="18" t="n">
        <f aca="false">IF($E$21=0,0,E8/$E$21)</f>
        <v>0.130511985794614</v>
      </c>
    </row>
    <row r="9" customFormat="false" ht="15" hidden="false" customHeight="false" outlineLevel="0" collapsed="false">
      <c r="A9" s="5" t="n">
        <v>5</v>
      </c>
      <c r="B9" s="5" t="s">
        <v>16</v>
      </c>
      <c r="C9" s="16" t="n">
        <f aca="false">SUMIF('CABLE SCHEDULE'!$G$5:$G$170,B9,'CABLE SCHEDULE'!$H$5:$H$170)</f>
        <v>2</v>
      </c>
      <c r="D9" s="10" t="n">
        <f aca="false">INDEX(OD_LIST,MATCH(B9,TIPE_KODE,0))</f>
        <v>11</v>
      </c>
      <c r="E9" s="17" t="n">
        <f aca="false">SUMIF('CABLE SCHEDULE'!$G$5:$G$170,B9,'CABLE SCHEDULE'!$J$5:$J$170)</f>
        <v>22</v>
      </c>
      <c r="F9" s="17" t="n">
        <f aca="false">SUMIF('CABLE SCHEDULE'!$G$5:$G$170,B9,'CABLE SCHEDULE'!$K$5:$K$170)</f>
        <v>190.066355542183</v>
      </c>
      <c r="G9" s="18" t="n">
        <f aca="false">IF($E$21=0,0,E9/$E$21)</f>
        <v>0.00651080201242971</v>
      </c>
    </row>
    <row r="10" customFormat="false" ht="15" hidden="false" customHeight="false" outlineLevel="0" collapsed="false">
      <c r="A10" s="5" t="n">
        <v>6</v>
      </c>
      <c r="B10" s="5" t="s">
        <v>9</v>
      </c>
      <c r="C10" s="16" t="n">
        <f aca="false">SUMIF('CABLE SCHEDULE'!$G$5:$G$170,B10,'CABLE SCHEDULE'!$H$5:$H$170)</f>
        <v>7</v>
      </c>
      <c r="D10" s="10" t="n">
        <f aca="false">INDEX(OD_LIST,MATCH(B10,TIPE_KODE,0))</f>
        <v>12</v>
      </c>
      <c r="E10" s="17" t="n">
        <f aca="false">SUMIF('CABLE SCHEDULE'!$G$5:$G$170,B10,'CABLE SCHEDULE'!$J$5:$J$170)</f>
        <v>84</v>
      </c>
      <c r="F10" s="17" t="n">
        <f aca="false">SUMIF('CABLE SCHEDULE'!$G$5:$G$170,B10,'CABLE SCHEDULE'!$K$5:$K$170)</f>
        <v>791.681348704628</v>
      </c>
      <c r="G10" s="18" t="n">
        <f aca="false">IF($E$21=0,0,E10/$E$21)</f>
        <v>0.0248594258656407</v>
      </c>
    </row>
    <row r="11" customFormat="false" ht="15" hidden="false" customHeight="false" outlineLevel="0" collapsed="false">
      <c r="A11" s="5" t="n">
        <v>7</v>
      </c>
      <c r="B11" s="5" t="s">
        <v>12</v>
      </c>
      <c r="C11" s="16" t="n">
        <f aca="false">SUMIF('CABLE SCHEDULE'!$G$5:$G$170,B11,'CABLE SCHEDULE'!$H$5:$H$170)</f>
        <v>101</v>
      </c>
      <c r="D11" s="10" t="n">
        <f aca="false">INDEX(OD_LIST,MATCH(B11,TIPE_KODE,0))</f>
        <v>13.5</v>
      </c>
      <c r="E11" s="17" t="n">
        <f aca="false">SUMIF('CABLE SCHEDULE'!$G$5:$G$170,B11,'CABLE SCHEDULE'!$J$5:$J$170)</f>
        <v>1363.5</v>
      </c>
      <c r="F11" s="17" t="n">
        <f aca="false">SUMIF('CABLE SCHEDULE'!$G$5:$G$170,B11,'CABLE SCHEDULE'!$K$5:$K$170)</f>
        <v>14457.0203431977</v>
      </c>
      <c r="G11" s="18" t="n">
        <f aca="false">IF($E$21=0,0,E11/$E$21)</f>
        <v>0.403521751997632</v>
      </c>
    </row>
    <row r="12" customFormat="false" ht="15" hidden="false" customHeight="false" outlineLevel="0" collapsed="false">
      <c r="A12" s="5" t="n">
        <v>8</v>
      </c>
      <c r="B12" s="5" t="s">
        <v>14</v>
      </c>
      <c r="C12" s="16" t="n">
        <f aca="false">SUMIF('CABLE SCHEDULE'!$G$5:$G$170,B12,'CABLE SCHEDULE'!$H$5:$H$170)</f>
        <v>1</v>
      </c>
      <c r="D12" s="10" t="n">
        <f aca="false">INDEX(OD_LIST,MATCH(B12,TIPE_KODE,0))</f>
        <v>14.5</v>
      </c>
      <c r="E12" s="17" t="n">
        <f aca="false">SUMIF('CABLE SCHEDULE'!$G$5:$G$170,B12,'CABLE SCHEDULE'!$J$5:$J$170)</f>
        <v>14.5</v>
      </c>
      <c r="F12" s="17" t="n">
        <f aca="false">SUMIF('CABLE SCHEDULE'!$G$5:$G$170,B12,'CABLE SCHEDULE'!$K$5:$K$170)</f>
        <v>165.129963854314</v>
      </c>
      <c r="G12" s="18" t="n">
        <f aca="false">IF($E$21=0,0,E12/$E$21)</f>
        <v>0.00429121041728322</v>
      </c>
    </row>
    <row r="13" customFormat="false" ht="15" hidden="false" customHeight="false" outlineLevel="0" collapsed="false">
      <c r="A13" s="5" t="n">
        <v>9</v>
      </c>
      <c r="B13" s="5" t="s">
        <v>32</v>
      </c>
      <c r="C13" s="16" t="n">
        <f aca="false">SUMIF('CABLE SCHEDULE'!$G$5:$G$170,B13,'CABLE SCHEDULE'!$H$5:$H$170)</f>
        <v>2</v>
      </c>
      <c r="D13" s="10" t="n">
        <f aca="false">INDEX(OD_LIST,MATCH(B13,TIPE_KODE,0))</f>
        <v>50</v>
      </c>
      <c r="E13" s="17" t="n">
        <f aca="false">SUMIF('CABLE SCHEDULE'!$G$5:$G$170,B13,'CABLE SCHEDULE'!$J$5:$J$170)</f>
        <v>100</v>
      </c>
      <c r="F13" s="17" t="n">
        <f aca="false">SUMIF('CABLE SCHEDULE'!$G$5:$G$170,B13,'CABLE SCHEDULE'!$K$5:$K$170)</f>
        <v>3926.99081698724</v>
      </c>
      <c r="G13" s="18" t="n">
        <f aca="false">IF($E$21=0,0,E13/$E$21)</f>
        <v>0.0295945546019532</v>
      </c>
    </row>
    <row r="14" customFormat="false" ht="15" hidden="false" customHeight="false" outlineLevel="0" collapsed="false">
      <c r="A14" s="5" t="n">
        <v>10</v>
      </c>
      <c r="B14" s="5" t="s">
        <v>28</v>
      </c>
      <c r="C14" s="16" t="n">
        <f aca="false">SUMIF('CABLE SCHEDULE'!$G$5:$G$170,B14,'CABLE SCHEDULE'!$H$5:$H$170)</f>
        <v>1</v>
      </c>
      <c r="D14" s="10" t="n">
        <f aca="false">INDEX(OD_LIST,MATCH(B14,TIPE_KODE,0))</f>
        <v>23</v>
      </c>
      <c r="E14" s="17" t="n">
        <f aca="false">SUMIF('CABLE SCHEDULE'!$G$5:$G$170,B14,'CABLE SCHEDULE'!$J$5:$J$170)</f>
        <v>23</v>
      </c>
      <c r="F14" s="17" t="n">
        <f aca="false">SUMIF('CABLE SCHEDULE'!$G$5:$G$170,B14,'CABLE SCHEDULE'!$K$5:$K$170)</f>
        <v>415.47562843725</v>
      </c>
      <c r="G14" s="18" t="n">
        <f aca="false">IF($E$21=0,0,E14/$E$21)</f>
        <v>0.00680674755844925</v>
      </c>
    </row>
    <row r="15" customFormat="false" ht="15" hidden="false" customHeight="false" outlineLevel="0" collapsed="false">
      <c r="A15" s="5" t="n">
        <v>11</v>
      </c>
      <c r="B15" s="5" t="s">
        <v>34</v>
      </c>
      <c r="C15" s="16" t="n">
        <f aca="false">SUMIF('CABLE SCHEDULE'!$G$5:$G$170,B15,'CABLE SCHEDULE'!$H$5:$H$170)</f>
        <v>4</v>
      </c>
      <c r="D15" s="10" t="n">
        <f aca="false">INDEX(OD_LIST,MATCH(B15,TIPE_KODE,0))</f>
        <v>74</v>
      </c>
      <c r="E15" s="17" t="n">
        <f aca="false">SUMIF('CABLE SCHEDULE'!$G$5:$G$170,B15,'CABLE SCHEDULE'!$J$5:$J$170)</f>
        <v>296</v>
      </c>
      <c r="F15" s="17" t="n">
        <f aca="false">SUMIF('CABLE SCHEDULE'!$G$5:$G$170,B15,'CABLE SCHEDULE'!$K$5:$K$170)</f>
        <v>17203.3613710577</v>
      </c>
      <c r="G15" s="18" t="n">
        <f aca="false">IF($E$21=0,0,E15/$E$21)</f>
        <v>0.0875998816217816</v>
      </c>
    </row>
    <row r="16" customFormat="false" ht="15" hidden="false" customHeight="false" outlineLevel="0" collapsed="false">
      <c r="A16" s="5" t="n">
        <v>12</v>
      </c>
      <c r="B16" s="5" t="s">
        <v>30</v>
      </c>
      <c r="C16" s="16" t="n">
        <f aca="false">SUMIF('CABLE SCHEDULE'!$G$5:$G$170,B16,'CABLE SCHEDULE'!$H$5:$H$170)</f>
        <v>1</v>
      </c>
      <c r="D16" s="10" t="n">
        <f aca="false">INDEX(OD_LIST,MATCH(B16,TIPE_KODE,0))</f>
        <v>27.5</v>
      </c>
      <c r="E16" s="17" t="n">
        <f aca="false">SUMIF('CABLE SCHEDULE'!$G$5:$G$170,B16,'CABLE SCHEDULE'!$J$5:$J$170)</f>
        <v>27.5</v>
      </c>
      <c r="F16" s="17" t="n">
        <f aca="false">SUMIF('CABLE SCHEDULE'!$G$5:$G$170,B16,'CABLE SCHEDULE'!$K$5:$K$170)</f>
        <v>593.95736106932</v>
      </c>
      <c r="G16" s="18" t="n">
        <f aca="false">IF($E$21=0,0,E16/$E$21)</f>
        <v>0.00813850251553714</v>
      </c>
    </row>
    <row r="17" customFormat="false" ht="15" hidden="false" customHeight="false" outlineLevel="0" collapsed="false">
      <c r="A17" s="5" t="n">
        <v>13</v>
      </c>
      <c r="B17" s="5" t="s">
        <v>21</v>
      </c>
      <c r="C17" s="16" t="n">
        <f aca="false">SUMIF('CABLE SCHEDULE'!$G$5:$G$170,B17,'CABLE SCHEDULE'!$H$5:$H$170)</f>
        <v>8</v>
      </c>
      <c r="D17" s="10" t="n">
        <f aca="false">INDEX(OD_LIST,MATCH(B17,TIPE_KODE,0))</f>
        <v>21.5</v>
      </c>
      <c r="E17" s="17" t="n">
        <f aca="false">SUMIF('CABLE SCHEDULE'!$G$5:$G$170,B17,'CABLE SCHEDULE'!$J$5:$J$170)</f>
        <v>172</v>
      </c>
      <c r="F17" s="17" t="n">
        <f aca="false">SUMIF('CABLE SCHEDULE'!$G$5:$G$170,B17,'CABLE SCHEDULE'!$K$5:$K$170)</f>
        <v>2904.40240824376</v>
      </c>
      <c r="G17" s="18" t="n">
        <f aca="false">IF($E$21=0,0,E17/$E$21)</f>
        <v>0.0509026339153596</v>
      </c>
    </row>
    <row r="18" customFormat="false" ht="15" hidden="false" customHeight="false" outlineLevel="0" collapsed="false">
      <c r="A18" s="5" t="n">
        <v>14</v>
      </c>
      <c r="B18" s="5" t="s">
        <v>23</v>
      </c>
      <c r="C18" s="16" t="n">
        <f aca="false">SUMIF('CABLE SCHEDULE'!$G$5:$G$170,B18,'CABLE SCHEDULE'!$H$5:$H$170)</f>
        <v>20</v>
      </c>
      <c r="D18" s="10" t="n">
        <f aca="false">INDEX(OD_LIST,MATCH(B18,TIPE_KODE,0))</f>
        <v>23</v>
      </c>
      <c r="E18" s="17" t="n">
        <f aca="false">SUMIF('CABLE SCHEDULE'!$G$5:$G$170,B18,'CABLE SCHEDULE'!$J$5:$J$170)</f>
        <v>460</v>
      </c>
      <c r="F18" s="17" t="n">
        <f aca="false">SUMIF('CABLE SCHEDULE'!$G$5:$G$170,B18,'CABLE SCHEDULE'!$K$5:$K$170)</f>
        <v>8309.512568745</v>
      </c>
      <c r="G18" s="18" t="n">
        <f aca="false">IF($E$21=0,0,E18/$E$21)</f>
        <v>0.136134951168985</v>
      </c>
    </row>
    <row r="19" customFormat="false" ht="15" hidden="false" customHeight="false" outlineLevel="0" collapsed="false">
      <c r="A19" s="5" t="n">
        <v>15</v>
      </c>
      <c r="B19" s="5" t="s">
        <v>26</v>
      </c>
      <c r="C19" s="16" t="n">
        <f aca="false">SUMIF('CABLE SCHEDULE'!$G$5:$G$170,B19,'CABLE SCHEDULE'!$H$5:$H$170)</f>
        <v>3</v>
      </c>
      <c r="D19" s="10" t="n">
        <f aca="false">INDEX(OD_LIST,MATCH(B19,TIPE_KODE,0))</f>
        <v>26</v>
      </c>
      <c r="E19" s="17" t="n">
        <f aca="false">SUMIF('CABLE SCHEDULE'!$G$5:$G$170,B19,'CABLE SCHEDULE'!$J$5:$J$170)</f>
        <v>78</v>
      </c>
      <c r="F19" s="17" t="n">
        <f aca="false">SUMIF('CABLE SCHEDULE'!$G$5:$G$170,B19,'CABLE SCHEDULE'!$K$5:$K$170)</f>
        <v>1592.78747537003</v>
      </c>
      <c r="G19" s="18" t="n">
        <f aca="false">IF($E$21=0,0,E19/$E$21)</f>
        <v>0.0230837525895235</v>
      </c>
    </row>
    <row r="20" customFormat="false" ht="15" hidden="false" customHeight="false" outlineLevel="0" collapsed="false">
      <c r="A20" s="5" t="n">
        <v>16</v>
      </c>
      <c r="B20" s="5" t="s">
        <v>19</v>
      </c>
      <c r="C20" s="16" t="n">
        <f aca="false">SUMIF('CABLE SCHEDULE'!$G$5:$G$170,B20,'CABLE SCHEDULE'!$H$5:$H$170)</f>
        <v>14</v>
      </c>
      <c r="D20" s="10" t="n">
        <f aca="false">INDEX(OD_LIST,MATCH(B20,TIPE_KODE,0))</f>
        <v>16</v>
      </c>
      <c r="E20" s="17" t="n">
        <f aca="false">SUMIF('CABLE SCHEDULE'!$G$5:$G$170,B20,'CABLE SCHEDULE'!$J$5:$J$170)</f>
        <v>224</v>
      </c>
      <c r="F20" s="17" t="n">
        <f aca="false">SUMIF('CABLE SCHEDULE'!$G$5:$G$170,B20,'CABLE SCHEDULE'!$K$5:$K$170)</f>
        <v>2814.86701761645</v>
      </c>
      <c r="G20" s="18" t="n">
        <f aca="false">IF($E$21=0,0,E20/$E$21)</f>
        <v>0.0662918023083753</v>
      </c>
    </row>
    <row r="21" customFormat="false" ht="15" hidden="false" customHeight="false" outlineLevel="0" collapsed="false">
      <c r="A21" s="11"/>
      <c r="B21" s="11" t="s">
        <v>250</v>
      </c>
      <c r="C21" s="13" t="n">
        <f aca="false">SUM(C5:C20)</f>
        <v>187</v>
      </c>
      <c r="D21" s="11"/>
      <c r="E21" s="14" t="n">
        <f aca="false">SUM(E5:E20)</f>
        <v>3379</v>
      </c>
      <c r="F21" s="14" t="n">
        <f aca="false">SUM(F5:F20)</f>
        <v>62817.7159048547</v>
      </c>
      <c r="G21" s="19" t="n">
        <f aca="false">SUM(G5:G20)</f>
        <v>1</v>
      </c>
    </row>
    <row r="23" customFormat="false" ht="15" hidden="false" customHeight="false" outlineLevel="0" collapsed="false">
      <c r="A23" s="2" t="s">
        <v>255</v>
      </c>
    </row>
    <row r="24" customFormat="false" ht="23.85" hidden="false" customHeight="false" outlineLevel="0" collapsed="false">
      <c r="A24" s="15" t="s">
        <v>3</v>
      </c>
      <c r="B24" s="15" t="s">
        <v>53</v>
      </c>
      <c r="C24" s="15" t="s">
        <v>59</v>
      </c>
      <c r="D24" s="15" t="s">
        <v>56</v>
      </c>
      <c r="E24" s="15" t="s">
        <v>60</v>
      </c>
      <c r="F24" s="15" t="s">
        <v>61</v>
      </c>
      <c r="G24" s="15" t="s">
        <v>254</v>
      </c>
    </row>
    <row r="25" customFormat="false" ht="15" hidden="false" customHeight="false" outlineLevel="0" collapsed="false">
      <c r="A25" s="5" t="n">
        <v>1</v>
      </c>
      <c r="B25" s="5" t="s">
        <v>62</v>
      </c>
      <c r="C25" s="16" t="n">
        <f aca="false">SUMIF('CABLE SCHEDULE'!$B$5:$B$170,B25,'CABLE SCHEDULE'!$H$5:$H$170)</f>
        <v>23</v>
      </c>
      <c r="D25" s="20" t="n">
        <f aca="false">SUMIF('CABLE SCHEDULE'!$B$5:$B$170,B25,'CABLE SCHEDULE'!$E$5:$E$170)</f>
        <v>450.64</v>
      </c>
      <c r="E25" s="17" t="n">
        <f aca="false">SUMIF('CABLE SCHEDULE'!$B$5:$B$170,B25,'CABLE SCHEDULE'!$J$5:$J$170)</f>
        <v>595</v>
      </c>
      <c r="F25" s="17" t="n">
        <f aca="false">SUMIF('CABLE SCHEDULE'!$B$5:$B$170,B25,'CABLE SCHEDULE'!$K$5:$K$170)</f>
        <v>13325.8506383645</v>
      </c>
      <c r="G25" s="18" t="n">
        <f aca="false">IF($E$29=0,0,E25/$E$29)</f>
        <v>0.176087599881622</v>
      </c>
    </row>
    <row r="26" customFormat="false" ht="15" hidden="false" customHeight="false" outlineLevel="0" collapsed="false">
      <c r="A26" s="5" t="n">
        <v>2</v>
      </c>
      <c r="B26" s="5" t="s">
        <v>77</v>
      </c>
      <c r="C26" s="16" t="n">
        <f aca="false">SUMIF('CABLE SCHEDULE'!$B$5:$B$170,B26,'CABLE SCHEDULE'!$H$5:$H$170)</f>
        <v>110</v>
      </c>
      <c r="D26" s="20" t="n">
        <f aca="false">SUMIF('CABLE SCHEDULE'!$B$5:$B$170,B26,'CABLE SCHEDULE'!$E$5:$E$170)</f>
        <v>212.912</v>
      </c>
      <c r="E26" s="17" t="n">
        <f aca="false">SUMIF('CABLE SCHEDULE'!$B$5:$B$170,B26,'CABLE SCHEDULE'!$J$5:$J$170)</f>
        <v>1537</v>
      </c>
      <c r="F26" s="17" t="n">
        <f aca="false">SUMIF('CABLE SCHEDULE'!$B$5:$B$170,B26,'CABLE SCHEDULE'!$K$5:$K$170)</f>
        <v>17274.8326039269</v>
      </c>
      <c r="G26" s="18" t="n">
        <f aca="false">IF($E$29=0,0,E26/$E$29)</f>
        <v>0.454868304232021</v>
      </c>
    </row>
    <row r="27" customFormat="false" ht="15" hidden="false" customHeight="false" outlineLevel="0" collapsed="false">
      <c r="A27" s="5" t="n">
        <v>3</v>
      </c>
      <c r="B27" s="5" t="s">
        <v>197</v>
      </c>
      <c r="C27" s="16" t="n">
        <f aca="false">SUMIF('CABLE SCHEDULE'!$B$5:$B$170,B27,'CABLE SCHEDULE'!$H$5:$H$170)</f>
        <v>19</v>
      </c>
      <c r="D27" s="20" t="n">
        <f aca="false">SUMIF('CABLE SCHEDULE'!$B$5:$B$170,B27,'CABLE SCHEDULE'!$E$5:$E$170)</f>
        <v>26.385</v>
      </c>
      <c r="E27" s="17" t="n">
        <f aca="false">SUMIF('CABLE SCHEDULE'!$B$5:$B$170,B27,'CABLE SCHEDULE'!$J$5:$J$170)</f>
        <v>269</v>
      </c>
      <c r="F27" s="17" t="n">
        <f aca="false">SUMIF('CABLE SCHEDULE'!$B$5:$B$170,B27,'CABLE SCHEDULE'!$K$5:$K$170)</f>
        <v>3107.427833482</v>
      </c>
      <c r="G27" s="18" t="n">
        <f aca="false">IF($E$29=0,0,E27/$E$29)</f>
        <v>0.0796093518792542</v>
      </c>
    </row>
    <row r="28" customFormat="false" ht="15" hidden="false" customHeight="false" outlineLevel="0" collapsed="false">
      <c r="A28" s="5" t="n">
        <v>4</v>
      </c>
      <c r="B28" s="5" t="s">
        <v>217</v>
      </c>
      <c r="C28" s="16" t="n">
        <f aca="false">SUMIF('CABLE SCHEDULE'!$B$5:$B$170,B28,'CABLE SCHEDULE'!$H$5:$H$170)</f>
        <v>35</v>
      </c>
      <c r="D28" s="20" t="n">
        <f aca="false">SUMIF('CABLE SCHEDULE'!$B$5:$B$170,B28,'CABLE SCHEDULE'!$E$5:$E$170)</f>
        <v>1115.416</v>
      </c>
      <c r="E28" s="17" t="n">
        <f aca="false">SUMIF('CABLE SCHEDULE'!$B$5:$B$170,B28,'CABLE SCHEDULE'!$J$5:$J$170)</f>
        <v>978</v>
      </c>
      <c r="F28" s="17" t="n">
        <f aca="false">SUMIF('CABLE SCHEDULE'!$B$5:$B$170,B28,'CABLE SCHEDULE'!$K$5:$K$170)</f>
        <v>29109.6048290813</v>
      </c>
      <c r="G28" s="18" t="n">
        <f aca="false">IF($E$29=0,0,E28/$E$29)</f>
        <v>0.289434744007103</v>
      </c>
    </row>
    <row r="29" customFormat="false" ht="15" hidden="false" customHeight="false" outlineLevel="0" collapsed="false">
      <c r="A29" s="11"/>
      <c r="B29" s="11" t="s">
        <v>250</v>
      </c>
      <c r="C29" s="13" t="n">
        <f aca="false">SUM(C25:C28)</f>
        <v>187</v>
      </c>
      <c r="D29" s="21" t="n">
        <f aca="false">SUM(D25:D28)</f>
        <v>1805.353</v>
      </c>
      <c r="E29" s="14" t="n">
        <f aca="false">SUM(E25:E28)</f>
        <v>3379</v>
      </c>
      <c r="F29" s="14" t="n">
        <f aca="false">SUM(F25:F28)</f>
        <v>62817.7159048547</v>
      </c>
      <c r="G29" s="19" t="n">
        <f aca="false">SUM(G25:G28)</f>
        <v>1</v>
      </c>
    </row>
    <row r="30" customFormat="false" ht="15" hidden="false" customHeight="false" outlineLevel="0" collapsed="false">
      <c r="A30" s="3" t="s">
        <v>256</v>
      </c>
    </row>
    <row r="32" customFormat="false" ht="15" hidden="false" customHeight="false" outlineLevel="0" collapsed="false">
      <c r="A32" s="2" t="s">
        <v>257</v>
      </c>
    </row>
    <row r="33" customFormat="false" ht="23.85" hidden="false" customHeight="false" outlineLevel="0" collapsed="false">
      <c r="A33" s="15" t="s">
        <v>3</v>
      </c>
      <c r="B33" s="15" t="s">
        <v>55</v>
      </c>
      <c r="C33" s="15" t="s">
        <v>59</v>
      </c>
      <c r="D33" s="15" t="s">
        <v>60</v>
      </c>
      <c r="E33" s="15" t="s">
        <v>61</v>
      </c>
    </row>
    <row r="34" customFormat="false" ht="15" hidden="false" customHeight="false" outlineLevel="0" collapsed="false">
      <c r="A34" s="5" t="n">
        <v>1</v>
      </c>
      <c r="B34" s="5" t="s">
        <v>64</v>
      </c>
      <c r="C34" s="16" t="n">
        <f aca="false">SUMIF('CABLE SCHEDULE'!$D$5:$D$170,B34,'CABLE SCHEDULE'!$H$5:$H$170)</f>
        <v>26</v>
      </c>
      <c r="D34" s="17" t="n">
        <f aca="false">SUMIF('CABLE SCHEDULE'!$D$5:$D$170,B34,'CABLE SCHEDULE'!$J$5:$J$170)</f>
        <v>807</v>
      </c>
      <c r="E34" s="17" t="n">
        <f aca="false">SUMIF('CABLE SCHEDULE'!$D$5:$D$170,B34,'CABLE SCHEDULE'!$K$5:$K$170)</f>
        <v>26752.2322416439</v>
      </c>
    </row>
    <row r="35" customFormat="false" ht="15" hidden="false" customHeight="false" outlineLevel="0" collapsed="false">
      <c r="A35" s="5" t="n">
        <v>2</v>
      </c>
      <c r="B35" s="5" t="s">
        <v>69</v>
      </c>
      <c r="C35" s="16" t="n">
        <f aca="false">SUMIF('CABLE SCHEDULE'!$D$5:$D$170,B35,'CABLE SCHEDULE'!$H$5:$H$170)</f>
        <v>5</v>
      </c>
      <c r="D35" s="17" t="n">
        <f aca="false">SUMIF('CABLE SCHEDULE'!$D$5:$D$170,B35,'CABLE SCHEDULE'!$J$5:$J$170)</f>
        <v>154</v>
      </c>
      <c r="E35" s="17" t="n">
        <f aca="false">SUMIF('CABLE SCHEDULE'!$D$5:$D$170,B35,'CABLE SCHEDULE'!$K$5:$K$170)</f>
        <v>4840.01618193678</v>
      </c>
    </row>
    <row r="36" customFormat="false" ht="15" hidden="false" customHeight="false" outlineLevel="0" collapsed="false">
      <c r="A36" s="5" t="n">
        <v>3</v>
      </c>
      <c r="B36" s="5" t="s">
        <v>85</v>
      </c>
      <c r="C36" s="16" t="n">
        <f aca="false">SUMIF('CABLE SCHEDULE'!$D$5:$D$170,B36,'CABLE SCHEDULE'!$H$5:$H$170)</f>
        <v>154</v>
      </c>
      <c r="D36" s="17" t="n">
        <f aca="false">SUMIF('CABLE SCHEDULE'!$D$5:$D$170,B36,'CABLE SCHEDULE'!$J$5:$J$170)</f>
        <v>2396</v>
      </c>
      <c r="E36" s="17" t="n">
        <f aca="false">SUMIF('CABLE SCHEDULE'!$D$5:$D$170,B36,'CABLE SCHEDULE'!$K$5:$K$170)</f>
        <v>31035.4011257319</v>
      </c>
    </row>
    <row r="37" customFormat="false" ht="15" hidden="false" customHeight="false" outlineLevel="0" collapsed="false">
      <c r="A37" s="5" t="n">
        <v>4</v>
      </c>
      <c r="B37" s="5" t="s">
        <v>82</v>
      </c>
      <c r="C37" s="16" t="n">
        <f aca="false">SUMIF('CABLE SCHEDULE'!$D$5:$D$170,B37,'CABLE SCHEDULE'!$H$5:$H$170)</f>
        <v>2</v>
      </c>
      <c r="D37" s="17" t="n">
        <f aca="false">SUMIF('CABLE SCHEDULE'!$D$5:$D$170,B37,'CABLE SCHEDULE'!$J$5:$J$170)</f>
        <v>22</v>
      </c>
      <c r="E37" s="17" t="n">
        <f aca="false">SUMIF('CABLE SCHEDULE'!$D$5:$D$170,B37,'CABLE SCHEDULE'!$K$5:$K$170)</f>
        <v>190.066355542183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4" customFormat="false" ht="15" hidden="false" customHeight="false" outlineLevel="0" collapsed="false">
      <c r="A4" s="22" t="s">
        <v>260</v>
      </c>
      <c r="B4" s="23"/>
      <c r="C4" s="23"/>
      <c r="D4" s="23"/>
      <c r="E4" s="23"/>
      <c r="F4" s="23"/>
    </row>
    <row r="5" customFormat="false" ht="15" hidden="false" customHeight="false" outlineLevel="0" collapsed="false">
      <c r="A5" s="24" t="s">
        <v>261</v>
      </c>
      <c r="C5" s="25" t="n">
        <v>0.3</v>
      </c>
      <c r="D5" s="24"/>
    </row>
    <row r="6" customFormat="false" ht="15" hidden="false" customHeight="false" outlineLevel="0" collapsed="false">
      <c r="A6" s="24" t="s">
        <v>262</v>
      </c>
      <c r="C6" s="26" t="n">
        <v>1.1</v>
      </c>
      <c r="D6" s="24"/>
    </row>
    <row r="7" customFormat="false" ht="15" hidden="false" customHeight="false" outlineLevel="0" collapsed="false">
      <c r="A7" s="24" t="s">
        <v>263</v>
      </c>
      <c r="C7" s="27" t="n">
        <v>100</v>
      </c>
      <c r="D7" s="24" t="s">
        <v>264</v>
      </c>
    </row>
    <row r="8" customFormat="false" ht="15" hidden="false" customHeight="false" outlineLevel="0" collapsed="false">
      <c r="A8" s="24" t="s">
        <v>265</v>
      </c>
      <c r="C8" s="25" t="n">
        <v>0.4</v>
      </c>
      <c r="D8" s="24"/>
    </row>
    <row r="9" customFormat="false" ht="15" hidden="false" customHeight="false" outlineLevel="0" collapsed="false">
      <c r="A9" s="24" t="s">
        <v>266</v>
      </c>
      <c r="C9" s="27" t="n">
        <v>1</v>
      </c>
      <c r="D9" s="24" t="s">
        <v>267</v>
      </c>
    </row>
    <row r="10" customFormat="false" ht="15" hidden="false" customHeight="false" outlineLevel="0" collapsed="false">
      <c r="A10" s="24" t="s">
        <v>268</v>
      </c>
      <c r="C10" s="27" t="n">
        <v>600</v>
      </c>
      <c r="D10" s="24" t="s">
        <v>264</v>
      </c>
    </row>
    <row r="12" customFormat="false" ht="15" hidden="false" customHeight="false" outlineLevel="0" collapsed="false">
      <c r="A12" s="22" t="s">
        <v>269</v>
      </c>
      <c r="B12" s="23"/>
      <c r="C12" s="23"/>
      <c r="D12" s="23"/>
      <c r="E12" s="23"/>
      <c r="F12" s="23"/>
    </row>
    <row r="13" customFormat="false" ht="15" hidden="false" customHeight="false" outlineLevel="0" collapsed="false">
      <c r="A13" s="24" t="s">
        <v>270</v>
      </c>
      <c r="C13" s="16" t="n">
        <f aca="false">'CABLE SCHEDULE'!H171</f>
        <v>187</v>
      </c>
      <c r="D13" s="24" t="s">
        <v>271</v>
      </c>
    </row>
    <row r="14" customFormat="false" ht="15" hidden="false" customHeight="false" outlineLevel="0" collapsed="false">
      <c r="A14" s="24" t="s">
        <v>272</v>
      </c>
      <c r="C14" s="17" t="n">
        <f aca="false">'CABLE SCHEDULE'!J171</f>
        <v>3379</v>
      </c>
      <c r="D14" s="24" t="s">
        <v>264</v>
      </c>
    </row>
    <row r="15" customFormat="false" ht="15" hidden="false" customHeight="false" outlineLevel="0" collapsed="false">
      <c r="A15" s="24" t="s">
        <v>273</v>
      </c>
      <c r="C15" s="17" t="n">
        <f aca="false">'CABLE SCHEDULE'!K171</f>
        <v>62817.7159048547</v>
      </c>
      <c r="D15" s="24" t="s">
        <v>274</v>
      </c>
    </row>
    <row r="16" customFormat="false" ht="15" hidden="false" customHeight="false" outlineLevel="0" collapsed="false">
      <c r="A16" s="24" t="s">
        <v>275</v>
      </c>
      <c r="C16" s="20" t="n">
        <f aca="false">'CABLE SCHEDULE'!E171</f>
        <v>1805.353</v>
      </c>
      <c r="D16" s="3" t="s">
        <v>276</v>
      </c>
    </row>
    <row r="18" customFormat="false" ht="15" hidden="false" customHeight="false" outlineLevel="0" collapsed="false">
      <c r="A18" s="22" t="s">
        <v>277</v>
      </c>
      <c r="B18" s="23"/>
      <c r="C18" s="23"/>
      <c r="D18" s="23"/>
      <c r="E18" s="23"/>
      <c r="F18" s="23"/>
    </row>
    <row r="19" customFormat="false" ht="15" hidden="false" customHeight="false" outlineLevel="0" collapsed="false">
      <c r="A19" s="24" t="s">
        <v>278</v>
      </c>
    </row>
    <row r="20" customFormat="false" ht="15" hidden="false" customHeight="false" outlineLevel="0" collapsed="false">
      <c r="A20" s="24" t="s">
        <v>279</v>
      </c>
      <c r="C20" s="28" t="n">
        <f aca="false">$C$14*$C$6*(1+$C$5)/$C$9</f>
        <v>4831.97</v>
      </c>
      <c r="D20" s="24" t="s">
        <v>264</v>
      </c>
    </row>
    <row r="22" customFormat="false" ht="15" hidden="false" customHeight="false" outlineLevel="0" collapsed="false">
      <c r="A22" s="22" t="s">
        <v>280</v>
      </c>
      <c r="B22" s="23"/>
      <c r="C22" s="23"/>
      <c r="D22" s="23"/>
      <c r="E22" s="23"/>
      <c r="F22" s="23"/>
    </row>
    <row r="23" customFormat="false" ht="15" hidden="false" customHeight="false" outlineLevel="0" collapsed="false">
      <c r="A23" s="24" t="s">
        <v>281</v>
      </c>
    </row>
    <row r="24" customFormat="false" ht="15" hidden="false" customHeight="false" outlineLevel="0" collapsed="false">
      <c r="A24" s="24" t="s">
        <v>282</v>
      </c>
      <c r="C24" s="28" t="n">
        <f aca="false">$C$15*(1+$C$5)/$C$8/$C$7/$C$9</f>
        <v>2041.57576690778</v>
      </c>
      <c r="D24" s="24" t="s">
        <v>264</v>
      </c>
    </row>
    <row r="26" customFormat="false" ht="15" hidden="false" customHeight="false" outlineLevel="0" collapsed="false">
      <c r="A26" s="22" t="s">
        <v>283</v>
      </c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2" t="s">
        <v>284</v>
      </c>
      <c r="C27" s="29" t="n">
        <f aca="false">MAX($C$20,$C$24)</f>
        <v>4831.97</v>
      </c>
      <c r="D27" s="24" t="s">
        <v>264</v>
      </c>
    </row>
    <row r="28" customFormat="false" ht="15" hidden="false" customHeight="false" outlineLevel="0" collapsed="false">
      <c r="A28" s="24" t="s">
        <v>285</v>
      </c>
      <c r="C28" s="24" t="str">
        <f aca="false">IF($C$20&gt;=$C$24,"METODE 1 (SOD)","METODE 2 (FILL)")</f>
        <v>METODE 1 (SOD)</v>
      </c>
    </row>
    <row r="29" customFormat="false" ht="15" hidden="false" customHeight="false" outlineLevel="0" collapsed="false">
      <c r="A29" s="24" t="s">
        <v>286</v>
      </c>
      <c r="C29" s="30" t="n">
        <f aca="false">$C$10</f>
        <v>600</v>
      </c>
      <c r="D29" s="24" t="s">
        <v>264</v>
      </c>
    </row>
    <row r="30" customFormat="false" ht="15" hidden="false" customHeight="false" outlineLevel="0" collapsed="false">
      <c r="A30" s="2" t="s">
        <v>287</v>
      </c>
      <c r="C30" s="31" t="n">
        <f aca="false">ROUNDUP($C$27/$C$10,0)</f>
        <v>9</v>
      </c>
      <c r="D30" s="24" t="s">
        <v>288</v>
      </c>
    </row>
    <row r="31" customFormat="false" ht="15" hidden="false" customHeight="false" outlineLevel="0" collapsed="false">
      <c r="A31" s="24" t="s">
        <v>289</v>
      </c>
      <c r="C31" s="32" t="n">
        <f aca="false">$C$30*$C$10*$C$7*$C$9</f>
        <v>540000</v>
      </c>
      <c r="D31" s="24" t="s">
        <v>274</v>
      </c>
    </row>
    <row r="32" customFormat="false" ht="15" hidden="false" customHeight="false" outlineLevel="0" collapsed="false">
      <c r="A32" s="2" t="s">
        <v>290</v>
      </c>
      <c r="C32" s="33" t="n">
        <f aca="false">$C$15/$C$31</f>
        <v>0.116329103527509</v>
      </c>
    </row>
    <row r="33" customFormat="false" ht="15" hidden="false" customHeight="false" outlineLevel="0" collapsed="false">
      <c r="A33" s="2" t="s">
        <v>291</v>
      </c>
      <c r="C33" s="34" t="str">
        <f aca="false">IF($C$32&lt;=$C$8,"OK","NOT OK")</f>
        <v>OK</v>
      </c>
    </row>
    <row r="34" customFormat="false" ht="15" hidden="false" customHeight="false" outlineLevel="0" collapsed="false">
      <c r="A34" s="24" t="s">
        <v>292</v>
      </c>
      <c r="C34" s="35" t="str">
        <f aca="false">$C$30&amp;" jalur "&amp;$C$10&amp;" x "&amp;$C$7&amp;" mm"</f>
        <v>9 jalur 600 x 100 mm</v>
      </c>
    </row>
    <row r="36" customFormat="false" ht="15" hidden="false" customHeight="false" outlineLevel="0" collapsed="false">
      <c r="A36" s="22" t="s">
        <v>293</v>
      </c>
      <c r="B36" s="23"/>
      <c r="C36" s="23"/>
      <c r="D36" s="23"/>
      <c r="E36" s="23"/>
      <c r="F36" s="23"/>
    </row>
    <row r="37" customFormat="false" ht="23.85" hidden="false" customHeight="false" outlineLevel="0" collapsed="false">
      <c r="A37" s="15" t="s">
        <v>294</v>
      </c>
      <c r="B37" s="15" t="s">
        <v>295</v>
      </c>
      <c r="C37" s="15" t="s">
        <v>296</v>
      </c>
      <c r="D37" s="15" t="s">
        <v>297</v>
      </c>
      <c r="E37" s="15" t="s">
        <v>298</v>
      </c>
      <c r="F37" s="15" t="s">
        <v>299</v>
      </c>
      <c r="G37" s="15" t="s">
        <v>300</v>
      </c>
    </row>
    <row r="38" customFormat="false" ht="15" hidden="false" customHeight="false" outlineLevel="0" collapsed="false">
      <c r="A38" s="36" t="n">
        <v>100</v>
      </c>
      <c r="B38" s="37" t="n">
        <f aca="false">ROUNDUP(MAX($C$14*$C$6*(1+$C$5)/1,$C$15*(1+$C$5)/$C$8/$C$7/1)/$A38,0)</f>
        <v>49</v>
      </c>
      <c r="C38" s="18" t="n">
        <f aca="false">$C$15/($A38*$C$7*1*B38)</f>
        <v>0.128199420213989</v>
      </c>
      <c r="D38" s="37" t="n">
        <f aca="false">ROUNDUP(MAX($C$14*$C$6*(1+$C$5)/2,$C$15*(1+$C$5)/$C$8/$C$7/2)/$A38,0)</f>
        <v>25</v>
      </c>
      <c r="E38" s="18" t="n">
        <f aca="false">$C$15/($A38*$C$7*2*D38)</f>
        <v>0.125635431809709</v>
      </c>
      <c r="F38" s="37" t="n">
        <f aca="false">ROUNDUP(MAX($C$14*$C$6*(1+$C$5)/3,$C$15*(1+$C$5)/$C$8/$C$7/3)/$A38,0)</f>
        <v>17</v>
      </c>
      <c r="G38" s="18" t="n">
        <f aca="false">$C$15/($A38*$C$7*3*F38)</f>
        <v>0.123171991970303</v>
      </c>
    </row>
    <row r="39" customFormat="false" ht="15" hidden="false" customHeight="false" outlineLevel="0" collapsed="false">
      <c r="A39" s="36" t="n">
        <v>150</v>
      </c>
      <c r="B39" s="37" t="n">
        <f aca="false">ROUNDUP(MAX($C$14*$C$6*(1+$C$5)/1,$C$15*(1+$C$5)/$C$8/$C$7/1)/$A39,0)</f>
        <v>33</v>
      </c>
      <c r="C39" s="18" t="n">
        <f aca="false">$C$15/($A39*$C$7*1*B39)</f>
        <v>0.126904476575464</v>
      </c>
      <c r="D39" s="37" t="n">
        <f aca="false">ROUNDUP(MAX($C$14*$C$6*(1+$C$5)/2,$C$15*(1+$C$5)/$C$8/$C$7/2)/$A39,0)</f>
        <v>17</v>
      </c>
      <c r="E39" s="18" t="n">
        <f aca="false">$C$15/($A39*$C$7*2*D39)</f>
        <v>0.123171991970303</v>
      </c>
      <c r="F39" s="37" t="n">
        <f aca="false">ROUNDUP(MAX($C$14*$C$6*(1+$C$5)/3,$C$15*(1+$C$5)/$C$8/$C$7/3)/$A39,0)</f>
        <v>11</v>
      </c>
      <c r="G39" s="18" t="n">
        <f aca="false">$C$15/($A39*$C$7*3*F39)</f>
        <v>0.126904476575464</v>
      </c>
    </row>
    <row r="40" customFormat="false" ht="15" hidden="false" customHeight="false" outlineLevel="0" collapsed="false">
      <c r="A40" s="36" t="n">
        <v>200</v>
      </c>
      <c r="B40" s="37" t="n">
        <f aca="false">ROUNDUP(MAX($C$14*$C$6*(1+$C$5)/1,$C$15*(1+$C$5)/$C$8/$C$7/1)/$A40,0)</f>
        <v>25</v>
      </c>
      <c r="C40" s="18" t="n">
        <f aca="false">$C$15/($A40*$C$7*1*B40)</f>
        <v>0.125635431809709</v>
      </c>
      <c r="D40" s="37" t="n">
        <f aca="false">ROUNDUP(MAX($C$14*$C$6*(1+$C$5)/2,$C$15*(1+$C$5)/$C$8/$C$7/2)/$A40,0)</f>
        <v>13</v>
      </c>
      <c r="E40" s="18" t="n">
        <f aca="false">$C$15/($A40*$C$7*2*D40)</f>
        <v>0.120803299817028</v>
      </c>
      <c r="F40" s="37" t="n">
        <f aca="false">ROUNDUP(MAX($C$14*$C$6*(1+$C$5)/3,$C$15*(1+$C$5)/$C$8/$C$7/3)/$A40,0)</f>
        <v>9</v>
      </c>
      <c r="G40" s="18" t="n">
        <f aca="false">$C$15/($A40*$C$7*3*F40)</f>
        <v>0.116329103527509</v>
      </c>
    </row>
    <row r="41" customFormat="false" ht="15" hidden="false" customHeight="false" outlineLevel="0" collapsed="false">
      <c r="A41" s="36" t="n">
        <v>300</v>
      </c>
      <c r="B41" s="37" t="n">
        <f aca="false">ROUNDUP(MAX($C$14*$C$6*(1+$C$5)/1,$C$15*(1+$C$5)/$C$8/$C$7/1)/$A41,0)</f>
        <v>17</v>
      </c>
      <c r="C41" s="18" t="n">
        <f aca="false">$C$15/($A41*$C$7*1*B41)</f>
        <v>0.123171991970303</v>
      </c>
      <c r="D41" s="37" t="n">
        <f aca="false">ROUNDUP(MAX($C$14*$C$6*(1+$C$5)/2,$C$15*(1+$C$5)/$C$8/$C$7/2)/$A41,0)</f>
        <v>9</v>
      </c>
      <c r="E41" s="18" t="n">
        <f aca="false">$C$15/($A41*$C$7*2*D41)</f>
        <v>0.116329103527509</v>
      </c>
      <c r="F41" s="37" t="n">
        <f aca="false">ROUNDUP(MAX($C$14*$C$6*(1+$C$5)/3,$C$15*(1+$C$5)/$C$8/$C$7/3)/$A41,0)</f>
        <v>6</v>
      </c>
      <c r="G41" s="18" t="n">
        <f aca="false">$C$15/($A41*$C$7*3*F41)</f>
        <v>0.116329103527509</v>
      </c>
    </row>
    <row r="42" customFormat="false" ht="15" hidden="false" customHeight="false" outlineLevel="0" collapsed="false">
      <c r="A42" s="36" t="n">
        <v>400</v>
      </c>
      <c r="B42" s="37" t="n">
        <f aca="false">ROUNDUP(MAX($C$14*$C$6*(1+$C$5)/1,$C$15*(1+$C$5)/$C$8/$C$7/1)/$A42,0)</f>
        <v>13</v>
      </c>
      <c r="C42" s="18" t="n">
        <f aca="false">$C$15/($A42*$C$7*1*B42)</f>
        <v>0.120803299817028</v>
      </c>
      <c r="D42" s="37" t="n">
        <f aca="false">ROUNDUP(MAX($C$14*$C$6*(1+$C$5)/2,$C$15*(1+$C$5)/$C$8/$C$7/2)/$A42,0)</f>
        <v>7</v>
      </c>
      <c r="E42" s="18" t="n">
        <f aca="false">$C$15/($A42*$C$7*2*D42)</f>
        <v>0.112174492687241</v>
      </c>
      <c r="F42" s="37" t="n">
        <f aca="false">ROUNDUP(MAX($C$14*$C$6*(1+$C$5)/3,$C$15*(1+$C$5)/$C$8/$C$7/3)/$A42,0)</f>
        <v>5</v>
      </c>
      <c r="G42" s="18" t="n">
        <f aca="false">$C$15/($A42*$C$7*3*F42)</f>
        <v>0.104696193174758</v>
      </c>
    </row>
    <row r="43" customFormat="false" ht="15" hidden="false" customHeight="false" outlineLevel="0" collapsed="false">
      <c r="A43" s="36" t="n">
        <v>500</v>
      </c>
      <c r="B43" s="37" t="n">
        <f aca="false">ROUNDUP(MAX($C$14*$C$6*(1+$C$5)/1,$C$15*(1+$C$5)/$C$8/$C$7/1)/$A43,0)</f>
        <v>10</v>
      </c>
      <c r="C43" s="18" t="n">
        <f aca="false">$C$15/($A43*$C$7*1*B43)</f>
        <v>0.125635431809709</v>
      </c>
      <c r="D43" s="37" t="n">
        <f aca="false">ROUNDUP(MAX($C$14*$C$6*(1+$C$5)/2,$C$15*(1+$C$5)/$C$8/$C$7/2)/$A43,0)</f>
        <v>5</v>
      </c>
      <c r="E43" s="18" t="n">
        <f aca="false">$C$15/($A43*$C$7*2*D43)</f>
        <v>0.125635431809709</v>
      </c>
      <c r="F43" s="37" t="n">
        <f aca="false">ROUNDUP(MAX($C$14*$C$6*(1+$C$5)/3,$C$15*(1+$C$5)/$C$8/$C$7/3)/$A43,0)</f>
        <v>4</v>
      </c>
      <c r="G43" s="18" t="n">
        <f aca="false">$C$15/($A43*$C$7*3*F43)</f>
        <v>0.104696193174758</v>
      </c>
    </row>
    <row r="44" customFormat="false" ht="15" hidden="false" customHeight="false" outlineLevel="0" collapsed="false">
      <c r="A44" s="36" t="n">
        <v>600</v>
      </c>
      <c r="B44" s="37" t="n">
        <f aca="false">ROUNDUP(MAX($C$14*$C$6*(1+$C$5)/1,$C$15*(1+$C$5)/$C$8/$C$7/1)/$A44,0)</f>
        <v>9</v>
      </c>
      <c r="C44" s="18" t="n">
        <f aca="false">$C$15/($A44*$C$7*1*B44)</f>
        <v>0.116329103527509</v>
      </c>
      <c r="D44" s="37" t="n">
        <f aca="false">ROUNDUP(MAX($C$14*$C$6*(1+$C$5)/2,$C$15*(1+$C$5)/$C$8/$C$7/2)/$A44,0)</f>
        <v>5</v>
      </c>
      <c r="E44" s="18" t="n">
        <f aca="false">$C$15/($A44*$C$7*2*D44)</f>
        <v>0.104696193174758</v>
      </c>
      <c r="F44" s="37" t="n">
        <f aca="false">ROUNDUP(MAX($C$14*$C$6*(1+$C$5)/3,$C$15*(1+$C$5)/$C$8/$C$7/3)/$A44,0)</f>
        <v>3</v>
      </c>
      <c r="G44" s="18" t="n">
        <f aca="false">$C$15/($A44*$C$7*3*F44)</f>
        <v>0.116329103527509</v>
      </c>
    </row>
    <row r="45" customFormat="false" ht="15" hidden="false" customHeight="false" outlineLevel="0" collapsed="false">
      <c r="A45" s="36" t="n">
        <v>800</v>
      </c>
      <c r="B45" s="37" t="n">
        <f aca="false">ROUNDUP(MAX($C$14*$C$6*(1+$C$5)/1,$C$15*(1+$C$5)/$C$8/$C$7/1)/$A45,0)</f>
        <v>7</v>
      </c>
      <c r="C45" s="18" t="n">
        <f aca="false">$C$15/($A45*$C$7*1*B45)</f>
        <v>0.112174492687241</v>
      </c>
      <c r="D45" s="37" t="n">
        <f aca="false">ROUNDUP(MAX($C$14*$C$6*(1+$C$5)/2,$C$15*(1+$C$5)/$C$8/$C$7/2)/$A45,0)</f>
        <v>4</v>
      </c>
      <c r="E45" s="18" t="n">
        <f aca="false">$C$15/($A45*$C$7*2*D45)</f>
        <v>0.0981526811013355</v>
      </c>
      <c r="F45" s="37" t="n">
        <f aca="false">ROUNDUP(MAX($C$14*$C$6*(1+$C$5)/3,$C$15*(1+$C$5)/$C$8/$C$7/3)/$A45,0)</f>
        <v>3</v>
      </c>
      <c r="G45" s="18" t="n">
        <f aca="false">$C$15/($A45*$C$7*3*F45)</f>
        <v>0.0872468276456315</v>
      </c>
    </row>
    <row r="46" customFormat="false" ht="15" hidden="false" customHeight="false" outlineLevel="0" collapsed="false">
      <c r="A46" s="36" t="n">
        <v>1000</v>
      </c>
      <c r="B46" s="37" t="n">
        <f aca="false">ROUNDUP(MAX($C$14*$C$6*(1+$C$5)/1,$C$15*(1+$C$5)/$C$8/$C$7/1)/$A46,0)</f>
        <v>5</v>
      </c>
      <c r="C46" s="18" t="n">
        <f aca="false">$C$15/($A46*$C$7*1*B46)</f>
        <v>0.125635431809709</v>
      </c>
      <c r="D46" s="37" t="n">
        <f aca="false">ROUNDUP(MAX($C$14*$C$6*(1+$C$5)/2,$C$15*(1+$C$5)/$C$8/$C$7/2)/$A46,0)</f>
        <v>3</v>
      </c>
      <c r="E46" s="18" t="n">
        <f aca="false">$C$15/($A46*$C$7*2*D46)</f>
        <v>0.104696193174758</v>
      </c>
      <c r="F46" s="37" t="n">
        <f aca="false">ROUNDUP(MAX($C$14*$C$6*(1+$C$5)/3,$C$15*(1+$C$5)/$C$8/$C$7/3)/$A46,0)</f>
        <v>2</v>
      </c>
      <c r="G46" s="18" t="n">
        <f aca="false">$C$15/($A46*$C$7*3*F46)</f>
        <v>0.104696193174758</v>
      </c>
    </row>
    <row r="48" customFormat="false" ht="15" hidden="false" customHeight="false" outlineLevel="0" collapsed="false">
      <c r="A48" s="3" t="s">
        <v>301</v>
      </c>
    </row>
    <row r="50" customFormat="false" ht="15" hidden="false" customHeight="false" outlineLevel="0" collapsed="false">
      <c r="A50" s="22" t="s">
        <v>302</v>
      </c>
      <c r="B50" s="23"/>
      <c r="C50" s="23"/>
      <c r="D50" s="23"/>
      <c r="E50" s="23"/>
      <c r="F50" s="23"/>
    </row>
    <row r="51" customFormat="false" ht="35.05" hidden="false" customHeight="false" outlineLevel="0" collapsed="false">
      <c r="A51" s="15" t="s">
        <v>53</v>
      </c>
      <c r="B51" s="15" t="s">
        <v>59</v>
      </c>
      <c r="C51" s="15" t="s">
        <v>303</v>
      </c>
      <c r="D51" s="15" t="s">
        <v>304</v>
      </c>
      <c r="E51" s="15" t="s">
        <v>305</v>
      </c>
      <c r="F51" s="15" t="s">
        <v>306</v>
      </c>
      <c r="G51" s="15" t="s">
        <v>307</v>
      </c>
      <c r="H51" s="15" t="s">
        <v>308</v>
      </c>
    </row>
    <row r="52" customFormat="false" ht="15" hidden="false" customHeight="false" outlineLevel="0" collapsed="false">
      <c r="A52" s="5" t="s">
        <v>62</v>
      </c>
      <c r="B52" s="16" t="n">
        <f aca="false">SUMIF('CABLE SCHEDULE'!$B$5:$B$170,A52,'CABLE SCHEDULE'!$H$5:$H$170)</f>
        <v>23</v>
      </c>
      <c r="C52" s="17" t="n">
        <f aca="false">SUMIF('CABLE SCHEDULE'!$B$5:$B$170,A52,'CABLE SCHEDULE'!$J$5:$J$170)</f>
        <v>595</v>
      </c>
      <c r="D52" s="17" t="n">
        <f aca="false">SUMIF('CABLE SCHEDULE'!$B$5:$B$170,A52,'CABLE SCHEDULE'!$K$5:$K$170)</f>
        <v>13325.8506383645</v>
      </c>
      <c r="E52" s="7" t="n">
        <f aca="false">MAX(C52*$C$6*(1+$C$5)/$C$9,D52*(1+$C$5)/$C$8/$C$7/$C$9)</f>
        <v>850.85</v>
      </c>
      <c r="F52" s="37" t="n">
        <f aca="false">ROUNDUP(E52/$C$10,0)</f>
        <v>2</v>
      </c>
      <c r="G52" s="18" t="n">
        <f aca="false">D52/(F52*$C$10*$C$7*$C$9)</f>
        <v>0.111048755319704</v>
      </c>
      <c r="H52" s="5" t="str">
        <f aca="false">IF(G52&lt;=$C$8,"OK","NOT OK")</f>
        <v>OK</v>
      </c>
    </row>
    <row r="53" customFormat="false" ht="15" hidden="false" customHeight="false" outlineLevel="0" collapsed="false">
      <c r="A53" s="5" t="s">
        <v>77</v>
      </c>
      <c r="B53" s="16" t="n">
        <f aca="false">SUMIF('CABLE SCHEDULE'!$B$5:$B$170,A53,'CABLE SCHEDULE'!$H$5:$H$170)</f>
        <v>110</v>
      </c>
      <c r="C53" s="17" t="n">
        <f aca="false">SUMIF('CABLE SCHEDULE'!$B$5:$B$170,A53,'CABLE SCHEDULE'!$J$5:$J$170)</f>
        <v>1537</v>
      </c>
      <c r="D53" s="17" t="n">
        <f aca="false">SUMIF('CABLE SCHEDULE'!$B$5:$B$170,A53,'CABLE SCHEDULE'!$K$5:$K$170)</f>
        <v>17274.8326039269</v>
      </c>
      <c r="E53" s="7" t="n">
        <f aca="false">MAX(C53*$C$6*(1+$C$5)/$C$9,D53*(1+$C$5)/$C$8/$C$7/$C$9)</f>
        <v>2197.91</v>
      </c>
      <c r="F53" s="37" t="n">
        <f aca="false">ROUNDUP(E53/$C$10,0)</f>
        <v>4</v>
      </c>
      <c r="G53" s="18" t="n">
        <f aca="false">D53/(F53*$C$10*$C$7*$C$9)</f>
        <v>0.0719784691830287</v>
      </c>
      <c r="H53" s="5" t="str">
        <f aca="false">IF(G53&lt;=$C$8,"OK","NOT OK")</f>
        <v>OK</v>
      </c>
    </row>
    <row r="54" customFormat="false" ht="15" hidden="false" customHeight="false" outlineLevel="0" collapsed="false">
      <c r="A54" s="5" t="s">
        <v>197</v>
      </c>
      <c r="B54" s="16" t="n">
        <f aca="false">SUMIF('CABLE SCHEDULE'!$B$5:$B$170,A54,'CABLE SCHEDULE'!$H$5:$H$170)</f>
        <v>19</v>
      </c>
      <c r="C54" s="17" t="n">
        <f aca="false">SUMIF('CABLE SCHEDULE'!$B$5:$B$170,A54,'CABLE SCHEDULE'!$J$5:$J$170)</f>
        <v>269</v>
      </c>
      <c r="D54" s="17" t="n">
        <f aca="false">SUMIF('CABLE SCHEDULE'!$B$5:$B$170,A54,'CABLE SCHEDULE'!$K$5:$K$170)</f>
        <v>3107.427833482</v>
      </c>
      <c r="E54" s="7" t="n">
        <f aca="false">MAX(C54*$C$6*(1+$C$5)/$C$9,D54*(1+$C$5)/$C$8/$C$7/$C$9)</f>
        <v>384.67</v>
      </c>
      <c r="F54" s="37" t="n">
        <f aca="false">ROUNDUP(E54/$C$10,0)</f>
        <v>1</v>
      </c>
      <c r="G54" s="18" t="n">
        <f aca="false">D54/(F54*$C$10*$C$7*$C$9)</f>
        <v>0.0517904638913667</v>
      </c>
      <c r="H54" s="5" t="str">
        <f aca="false">IF(G54&lt;=$C$8,"OK","NOT OK")</f>
        <v>OK</v>
      </c>
    </row>
    <row r="55" customFormat="false" ht="15" hidden="false" customHeight="false" outlineLevel="0" collapsed="false">
      <c r="A55" s="5" t="s">
        <v>217</v>
      </c>
      <c r="B55" s="16" t="n">
        <f aca="false">SUMIF('CABLE SCHEDULE'!$B$5:$B$170,A55,'CABLE SCHEDULE'!$H$5:$H$170)</f>
        <v>35</v>
      </c>
      <c r="C55" s="17" t="n">
        <f aca="false">SUMIF('CABLE SCHEDULE'!$B$5:$B$170,A55,'CABLE SCHEDULE'!$J$5:$J$170)</f>
        <v>978</v>
      </c>
      <c r="D55" s="17" t="n">
        <f aca="false">SUMIF('CABLE SCHEDULE'!$B$5:$B$170,A55,'CABLE SCHEDULE'!$K$5:$K$170)</f>
        <v>29109.6048290813</v>
      </c>
      <c r="E55" s="7" t="n">
        <f aca="false">MAX(C55*$C$6*(1+$C$5)/$C$9,D55*(1+$C$5)/$C$8/$C$7/$C$9)</f>
        <v>1398.54</v>
      </c>
      <c r="F55" s="37" t="n">
        <f aca="false">ROUNDUP(E55/$C$10,0)</f>
        <v>3</v>
      </c>
      <c r="G55" s="18" t="n">
        <f aca="false">D55/(F55*$C$10*$C$7*$C$9)</f>
        <v>0.16172002682823</v>
      </c>
      <c r="H55" s="5" t="str">
        <f aca="false">IF(G55&lt;=$C$8,"OK","NOT OK")</f>
        <v>OK</v>
      </c>
    </row>
    <row r="56" customFormat="false" ht="15" hidden="false" customHeight="false" outlineLevel="0" collapsed="false">
      <c r="A56" s="11" t="s">
        <v>309</v>
      </c>
      <c r="B56" s="13" t="n">
        <f aca="false">SUM(B52:B55)</f>
        <v>187</v>
      </c>
      <c r="C56" s="14" t="n">
        <f aca="false">SUM(C52:C55)</f>
        <v>3379</v>
      </c>
      <c r="D56" s="14" t="n">
        <f aca="false">SUM(D52:D55)</f>
        <v>62817.7159048547</v>
      </c>
      <c r="E56" s="14" t="n">
        <f aca="false">$C$27</f>
        <v>4831.97</v>
      </c>
      <c r="F56" s="13" t="n">
        <f aca="false">$C$30</f>
        <v>9</v>
      </c>
      <c r="G56" s="19" t="n">
        <f aca="false">$C$32</f>
        <v>0.116329103527509</v>
      </c>
      <c r="H56" s="11" t="str">
        <f aca="false">$C$33</f>
        <v>OK</v>
      </c>
    </row>
    <row r="58" customFormat="false" ht="15" hidden="false" customHeight="false" outlineLevel="0" collapsed="false">
      <c r="A58" s="22" t="s">
        <v>310</v>
      </c>
      <c r="B58" s="23"/>
      <c r="C58" s="23"/>
      <c r="D58" s="23"/>
      <c r="E58" s="23"/>
      <c r="F58" s="23"/>
    </row>
    <row r="59" customFormat="false" ht="15" hidden="false" customHeight="false" outlineLevel="0" collapsed="false">
      <c r="A59" s="38" t="s">
        <v>311</v>
      </c>
    </row>
    <row r="60" customFormat="false" ht="15" hidden="false" customHeight="false" outlineLevel="0" collapsed="false">
      <c r="A60" s="38" t="s">
        <v>312</v>
      </c>
    </row>
    <row r="61" customFormat="false" ht="15" hidden="false" customHeight="false" outlineLevel="0" collapsed="false">
      <c r="A61" s="38" t="s">
        <v>313</v>
      </c>
    </row>
    <row r="62" customFormat="false" ht="15" hidden="false" customHeight="false" outlineLevel="0" collapsed="false">
      <c r="A62" s="38" t="s">
        <v>314</v>
      </c>
    </row>
    <row r="63" customFormat="false" ht="15" hidden="false" customHeight="false" outlineLevel="0" collapsed="false">
      <c r="A63" s="38" t="s">
        <v>315</v>
      </c>
    </row>
    <row r="64" customFormat="false" ht="15" hidden="false" customHeight="false" outlineLevel="0" collapsed="false">
      <c r="A64" s="38" t="s">
        <v>316</v>
      </c>
    </row>
    <row r="65" customFormat="false" ht="15" hidden="false" customHeight="false" outlineLevel="0" collapsed="false">
      <c r="A65" s="38" t="s">
        <v>317</v>
      </c>
    </row>
    <row r="66" customFormat="false" ht="15" hidden="false" customHeight="false" outlineLevel="0" collapsed="false">
      <c r="A66" s="38" t="s">
        <v>318</v>
      </c>
    </row>
    <row r="67" customFormat="false" ht="15" hidden="false" customHeight="false" outlineLevel="0" collapsed="false">
      <c r="A67" s="38" t="s">
        <v>319</v>
      </c>
    </row>
    <row r="68" customFormat="false" ht="15" hidden="false" customHeight="false" outlineLevel="0" collapsed="false">
      <c r="A68" s="38" t="s">
        <v>320</v>
      </c>
    </row>
    <row r="69" customFormat="false" ht="15" hidden="false" customHeight="false" outlineLevel="0" collapsed="false">
      <c r="A69" s="38" t="s">
        <v>321</v>
      </c>
    </row>
    <row r="70" customFormat="false" ht="15" hidden="false" customHeight="false" outlineLevel="0" collapsed="false">
      <c r="A70" s="38" t="s">
        <v>322</v>
      </c>
    </row>
    <row r="71" customFormat="false" ht="15" hidden="false" customHeight="false" outlineLevel="0" collapsed="false">
      <c r="A71" s="38" t="s">
        <v>323</v>
      </c>
    </row>
    <row r="72" customFormat="false" ht="15" hidden="false" customHeight="false" outlineLevel="0" collapsed="false">
      <c r="A72" s="38" t="s">
        <v>324</v>
      </c>
    </row>
    <row r="73" customFormat="false" ht="15" hidden="false" customHeight="false" outlineLevel="0" collapsed="false">
      <c r="A73" s="38" t="s">
        <v>325</v>
      </c>
    </row>
    <row r="74" customFormat="false" ht="15" hidden="false" customHeight="false" outlineLevel="0" collapsed="false">
      <c r="A74" s="38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2026-09-18T08:38:56Z</dcterms:created>
  <dc:creator>openpyxl</dc:creator>
  <dc:description/>
  <dc:language>en-US</dc:language>
  <cp:lastModifiedBy/>
  <dcterms:modified xsi:type="dcterms:W3CDTF">2026-09-18T08:38:56Z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